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0822a03f2412f91/桌面/"/>
    </mc:Choice>
  </mc:AlternateContent>
  <xr:revisionPtr revIDLastSave="8" documentId="13_ncr:1_{CEB1C14F-671D-4B4A-B4AB-4675DC0DD304}" xr6:coauthVersionLast="47" xr6:coauthVersionMax="47" xr10:uidLastSave="{49E9DA63-7407-463F-8002-B2CA36980F21}"/>
  <bookViews>
    <workbookView xWindow="-108" yWindow="-108" windowWidth="23256" windowHeight="12456" activeTab="1" xr2:uid="{00000000-000D-0000-FFFF-FFFF00000000}"/>
  </bookViews>
  <sheets>
    <sheet name="Kale" sheetId="2" r:id="rId1"/>
    <sheet name="Ging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M246" i="1"/>
  <c r="N246" i="1"/>
  <c r="M247" i="1"/>
  <c r="N247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M282" i="1"/>
  <c r="N282" i="1"/>
  <c r="M283" i="1"/>
  <c r="N283" i="1"/>
  <c r="M284" i="1"/>
  <c r="N284" i="1"/>
  <c r="M285" i="1"/>
  <c r="N285" i="1"/>
  <c r="M286" i="1"/>
  <c r="N286" i="1"/>
  <c r="M287" i="1"/>
  <c r="N287" i="1"/>
  <c r="M288" i="1"/>
  <c r="N288" i="1"/>
  <c r="M289" i="1"/>
  <c r="N289" i="1"/>
  <c r="M290" i="1"/>
  <c r="N290" i="1"/>
  <c r="M291" i="1"/>
  <c r="N291" i="1"/>
  <c r="M292" i="1"/>
  <c r="N292" i="1"/>
  <c r="M293" i="1"/>
  <c r="N293" i="1"/>
  <c r="M294" i="1"/>
  <c r="N294" i="1"/>
  <c r="M295" i="1"/>
  <c r="N295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M303" i="1"/>
  <c r="N303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M317" i="1"/>
  <c r="N317" i="1"/>
  <c r="M318" i="1"/>
  <c r="N318" i="1"/>
  <c r="M319" i="1"/>
  <c r="N319" i="1"/>
  <c r="M320" i="1"/>
  <c r="N320" i="1"/>
  <c r="M321" i="1"/>
  <c r="N321" i="1"/>
  <c r="M322" i="1"/>
  <c r="N322" i="1"/>
  <c r="M323" i="1"/>
  <c r="N323" i="1"/>
  <c r="M324" i="1"/>
  <c r="N324" i="1"/>
  <c r="M325" i="1"/>
  <c r="N325" i="1"/>
  <c r="M326" i="1"/>
  <c r="N326" i="1"/>
  <c r="M327" i="1"/>
  <c r="N327" i="1"/>
  <c r="M328" i="1"/>
  <c r="N328" i="1"/>
  <c r="M329" i="1"/>
  <c r="N329" i="1"/>
  <c r="M330" i="1"/>
  <c r="N330" i="1"/>
  <c r="M331" i="1"/>
  <c r="N331" i="1"/>
  <c r="M332" i="1"/>
  <c r="N332" i="1"/>
  <c r="M333" i="1"/>
  <c r="N333" i="1"/>
  <c r="M334" i="1"/>
  <c r="N334" i="1"/>
  <c r="M335" i="1"/>
  <c r="N335" i="1"/>
  <c r="M336" i="1"/>
  <c r="N336" i="1"/>
  <c r="M337" i="1"/>
  <c r="N337" i="1"/>
  <c r="M338" i="1"/>
  <c r="N338" i="1"/>
  <c r="M339" i="1"/>
  <c r="N339" i="1"/>
  <c r="M340" i="1"/>
  <c r="N340" i="1"/>
  <c r="M341" i="1"/>
  <c r="N341" i="1"/>
  <c r="M342" i="1"/>
  <c r="N342" i="1"/>
  <c r="M343" i="1"/>
  <c r="N343" i="1"/>
  <c r="M344" i="1"/>
  <c r="N344" i="1"/>
  <c r="M345" i="1"/>
  <c r="N345" i="1"/>
  <c r="M346" i="1"/>
  <c r="N346" i="1"/>
  <c r="M347" i="1"/>
  <c r="N347" i="1"/>
  <c r="M348" i="1"/>
  <c r="N348" i="1"/>
  <c r="M349" i="1"/>
  <c r="N349" i="1"/>
  <c r="M350" i="1"/>
  <c r="N350" i="1"/>
  <c r="M351" i="1"/>
  <c r="N351" i="1"/>
  <c r="M352" i="1"/>
  <c r="N352" i="1"/>
  <c r="M353" i="1"/>
  <c r="N353" i="1"/>
  <c r="M354" i="1"/>
  <c r="N354" i="1"/>
  <c r="M355" i="1"/>
  <c r="N355" i="1"/>
  <c r="M356" i="1"/>
  <c r="N356" i="1"/>
  <c r="M357" i="1"/>
  <c r="N357" i="1"/>
  <c r="M358" i="1"/>
  <c r="N358" i="1"/>
  <c r="M359" i="1"/>
  <c r="N359" i="1"/>
  <c r="M360" i="1"/>
  <c r="N360" i="1"/>
  <c r="M361" i="1"/>
  <c r="N361" i="1"/>
  <c r="M362" i="1"/>
  <c r="N362" i="1"/>
  <c r="M363" i="1"/>
  <c r="N363" i="1"/>
  <c r="M364" i="1"/>
  <c r="N364" i="1"/>
  <c r="M365" i="1"/>
  <c r="N365" i="1"/>
  <c r="M366" i="1"/>
  <c r="N366" i="1"/>
  <c r="M367" i="1"/>
  <c r="N367" i="1"/>
  <c r="M368" i="1"/>
  <c r="N368" i="1"/>
  <c r="M369" i="1"/>
  <c r="N369" i="1"/>
  <c r="M370" i="1"/>
  <c r="N370" i="1"/>
  <c r="M371" i="1"/>
  <c r="N371" i="1"/>
  <c r="M372" i="1"/>
  <c r="N372" i="1"/>
  <c r="M373" i="1"/>
  <c r="N373" i="1"/>
  <c r="M374" i="1"/>
  <c r="N374" i="1"/>
  <c r="M375" i="1"/>
  <c r="N375" i="1"/>
  <c r="M376" i="1"/>
  <c r="N376" i="1"/>
  <c r="M377" i="1"/>
  <c r="N377" i="1"/>
  <c r="M378" i="1"/>
  <c r="N378" i="1"/>
  <c r="M379" i="1"/>
  <c r="N379" i="1"/>
  <c r="M380" i="1"/>
  <c r="N380" i="1"/>
  <c r="M381" i="1"/>
  <c r="N381" i="1"/>
  <c r="M382" i="1"/>
  <c r="N382" i="1"/>
  <c r="M383" i="1"/>
  <c r="N383" i="1"/>
  <c r="M384" i="1"/>
  <c r="N384" i="1"/>
  <c r="M385" i="1"/>
  <c r="N385" i="1"/>
  <c r="M386" i="1"/>
  <c r="N386" i="1"/>
  <c r="M387" i="1"/>
  <c r="N387" i="1"/>
  <c r="M388" i="1"/>
  <c r="N388" i="1"/>
  <c r="M389" i="1"/>
  <c r="N389" i="1"/>
  <c r="M390" i="1"/>
  <c r="N390" i="1"/>
  <c r="M391" i="1"/>
  <c r="N391" i="1"/>
  <c r="M392" i="1"/>
  <c r="N392" i="1"/>
  <c r="M393" i="1"/>
  <c r="N393" i="1"/>
  <c r="M394" i="1"/>
  <c r="N394" i="1"/>
  <c r="M395" i="1"/>
  <c r="N395" i="1"/>
  <c r="M396" i="1"/>
  <c r="N396" i="1"/>
  <c r="M397" i="1"/>
  <c r="N397" i="1"/>
  <c r="M398" i="1"/>
  <c r="N398" i="1"/>
  <c r="M399" i="1"/>
  <c r="N399" i="1"/>
  <c r="M400" i="1"/>
  <c r="N400" i="1"/>
  <c r="M401" i="1"/>
  <c r="N401" i="1"/>
  <c r="M402" i="1"/>
  <c r="N402" i="1"/>
  <c r="M403" i="1"/>
  <c r="N403" i="1"/>
  <c r="M404" i="1"/>
  <c r="N404" i="1"/>
  <c r="M405" i="1"/>
  <c r="N405" i="1"/>
  <c r="M406" i="1"/>
  <c r="N406" i="1"/>
  <c r="M407" i="1"/>
  <c r="N407" i="1"/>
  <c r="M408" i="1"/>
  <c r="N408" i="1"/>
  <c r="M409" i="1"/>
  <c r="N409" i="1"/>
  <c r="M410" i="1"/>
  <c r="N410" i="1"/>
  <c r="M411" i="1"/>
  <c r="N411" i="1"/>
  <c r="M412" i="1"/>
  <c r="N412" i="1"/>
  <c r="M413" i="1"/>
  <c r="N413" i="1"/>
  <c r="M414" i="1"/>
  <c r="N414" i="1"/>
  <c r="M415" i="1"/>
  <c r="N415" i="1"/>
  <c r="M416" i="1"/>
  <c r="N416" i="1"/>
  <c r="M417" i="1"/>
  <c r="N417" i="1"/>
  <c r="M418" i="1"/>
  <c r="N418" i="1"/>
  <c r="M419" i="1"/>
  <c r="N419" i="1"/>
  <c r="M420" i="1"/>
  <c r="N420" i="1"/>
  <c r="M421" i="1"/>
  <c r="N421" i="1"/>
  <c r="M422" i="1"/>
  <c r="N422" i="1"/>
  <c r="M423" i="1"/>
  <c r="N423" i="1"/>
  <c r="M424" i="1"/>
  <c r="N424" i="1"/>
  <c r="M425" i="1"/>
  <c r="N425" i="1"/>
  <c r="M426" i="1"/>
  <c r="N426" i="1"/>
  <c r="M427" i="1"/>
  <c r="N427" i="1"/>
  <c r="M428" i="1"/>
  <c r="N428" i="1"/>
  <c r="M429" i="1"/>
  <c r="N429" i="1"/>
  <c r="M430" i="1"/>
  <c r="N430" i="1"/>
  <c r="M431" i="1"/>
  <c r="N431" i="1"/>
  <c r="M432" i="1"/>
  <c r="N432" i="1"/>
  <c r="M433" i="1"/>
  <c r="N433" i="1"/>
  <c r="M434" i="1"/>
  <c r="N434" i="1"/>
  <c r="M435" i="1"/>
  <c r="N435" i="1"/>
  <c r="M436" i="1"/>
  <c r="N436" i="1"/>
  <c r="M437" i="1"/>
  <c r="N437" i="1"/>
  <c r="M438" i="1"/>
  <c r="N438" i="1"/>
  <c r="M439" i="1"/>
  <c r="N439" i="1"/>
  <c r="M440" i="1"/>
  <c r="N440" i="1"/>
  <c r="M441" i="1"/>
  <c r="N441" i="1"/>
  <c r="M442" i="1"/>
  <c r="N442" i="1"/>
  <c r="M443" i="1"/>
  <c r="N443" i="1"/>
  <c r="M444" i="1"/>
  <c r="N444" i="1"/>
  <c r="M445" i="1"/>
  <c r="N445" i="1"/>
  <c r="M446" i="1"/>
  <c r="N446" i="1"/>
  <c r="M447" i="1"/>
  <c r="N447" i="1"/>
  <c r="M448" i="1"/>
  <c r="N448" i="1"/>
  <c r="M449" i="1"/>
  <c r="N449" i="1"/>
  <c r="M450" i="1"/>
  <c r="N450" i="1"/>
  <c r="M451" i="1"/>
  <c r="N451" i="1"/>
  <c r="M452" i="1"/>
  <c r="N452" i="1"/>
  <c r="M453" i="1"/>
  <c r="N453" i="1"/>
  <c r="M454" i="1"/>
  <c r="N454" i="1"/>
  <c r="M455" i="1"/>
  <c r="N455" i="1"/>
  <c r="M456" i="1"/>
  <c r="N456" i="1"/>
  <c r="M457" i="1"/>
  <c r="N457" i="1"/>
  <c r="M458" i="1"/>
  <c r="N458" i="1"/>
  <c r="M459" i="1"/>
  <c r="N459" i="1"/>
  <c r="M460" i="1"/>
  <c r="N460" i="1"/>
  <c r="M461" i="1"/>
  <c r="N461" i="1"/>
  <c r="M462" i="1"/>
  <c r="N462" i="1"/>
  <c r="M463" i="1"/>
  <c r="N463" i="1"/>
  <c r="M464" i="1"/>
  <c r="N464" i="1"/>
  <c r="M465" i="1"/>
  <c r="N465" i="1"/>
  <c r="M466" i="1"/>
  <c r="N466" i="1"/>
  <c r="M467" i="1"/>
  <c r="N467" i="1"/>
  <c r="M468" i="1"/>
  <c r="N468" i="1"/>
  <c r="M469" i="1"/>
  <c r="N469" i="1"/>
  <c r="M470" i="1"/>
  <c r="N470" i="1"/>
  <c r="M471" i="1"/>
  <c r="N471" i="1"/>
  <c r="M472" i="1"/>
  <c r="N472" i="1"/>
  <c r="M473" i="1"/>
  <c r="N473" i="1"/>
  <c r="M474" i="1"/>
  <c r="N474" i="1"/>
  <c r="M475" i="1"/>
  <c r="N475" i="1"/>
  <c r="M476" i="1"/>
  <c r="N476" i="1"/>
  <c r="M477" i="1"/>
  <c r="N477" i="1"/>
  <c r="M478" i="1"/>
  <c r="N478" i="1"/>
  <c r="M479" i="1"/>
  <c r="N479" i="1"/>
  <c r="M480" i="1"/>
  <c r="N480" i="1"/>
  <c r="M481" i="1"/>
  <c r="N481" i="1"/>
  <c r="M482" i="1"/>
  <c r="N482" i="1"/>
  <c r="M483" i="1"/>
  <c r="N483" i="1"/>
  <c r="M484" i="1"/>
  <c r="N484" i="1"/>
  <c r="M485" i="1"/>
  <c r="N485" i="1"/>
  <c r="M486" i="1"/>
  <c r="N486" i="1"/>
  <c r="M487" i="1"/>
  <c r="N487" i="1"/>
  <c r="M488" i="1"/>
  <c r="N488" i="1"/>
  <c r="M489" i="1"/>
  <c r="N489" i="1"/>
  <c r="M490" i="1"/>
  <c r="N490" i="1"/>
  <c r="M491" i="1"/>
  <c r="N491" i="1"/>
  <c r="M492" i="1"/>
  <c r="N492" i="1"/>
  <c r="N3" i="1"/>
  <c r="M3" i="1"/>
</calcChain>
</file>

<file path=xl/sharedStrings.xml><?xml version="1.0" encoding="utf-8"?>
<sst xmlns="http://schemas.openxmlformats.org/spreadsheetml/2006/main" count="2549" uniqueCount="1791">
  <si>
    <t>A0A8J5KVC4</t>
  </si>
  <si>
    <t>KH type-2 domain-containing protein OS=Zingiber officinale OX=94328 GN=ZIOFF_040623 PE=3 SV=1</t>
  </si>
  <si>
    <t>Description</t>
    <phoneticPr fontId="1" type="noConversion"/>
  </si>
  <si>
    <t>MW [kDa]</t>
    <phoneticPr fontId="1" type="noConversion"/>
  </si>
  <si>
    <t>Q5ILG7</t>
  </si>
  <si>
    <t>Cysteine protease gp2a OS=Zingiber officinale OX=94328 GN=ZIOFF_026231 PE=2 SV=1</t>
  </si>
  <si>
    <t>A0A8J5M9B5</t>
  </si>
  <si>
    <t>40S ribosomal protein S25 OS=Zingiber officinale OX=94328 GN=ZIOFF_002434 PE=3 SV=1</t>
  </si>
  <si>
    <t>A0A8J5M8K1</t>
  </si>
  <si>
    <t>Small ribosomal subunit protein uS10 domain-containing protein OS=Zingiber officinale OX=94328 GN=ZIOFF_001441 PE=3 SV=1</t>
  </si>
  <si>
    <t>A0A8J5M8E3</t>
  </si>
  <si>
    <t>Lipoxygenase OS=Zingiber officinale OX=94328 GN=ZIOFF_001226 PE=3 SV=1</t>
  </si>
  <si>
    <t>A0A8J5M874</t>
  </si>
  <si>
    <t>Polyadenylate-binding protein OS=Zingiber officinale OX=94328 GN=ZIOFF_000968 PE=3 SV=1</t>
  </si>
  <si>
    <t>A0A8J5M6G1</t>
  </si>
  <si>
    <t>Alpha-1,4 glucan phosphorylase OS=Zingiber officinale OX=94328 GN=ZIOFF_000195 PE=3 SV=1</t>
  </si>
  <si>
    <t>A0A8J5M6F7</t>
  </si>
  <si>
    <t>60S ribosomal protein L36 OS=Zingiber officinale OX=94328 GN=ZIOFF_000180 PE=3 SV=1</t>
  </si>
  <si>
    <t>A0A8J5M5Z3</t>
  </si>
  <si>
    <t>protein-disulfide reductase OS=Zingiber officinale OX=94328 GN=ZIOFF_008484 PE=3 SV=1</t>
  </si>
  <si>
    <t>A0A8J5M3A0</t>
  </si>
  <si>
    <t>14-3-3 domain-containing protein OS=Zingiber officinale OX=94328 GN=ZIOFF_012310 PE=3 SV=1</t>
  </si>
  <si>
    <t>A0A8J5M299</t>
  </si>
  <si>
    <t>RuBisCO large subunit-binding protein subunit alpha OS=Zingiber officinale OX=94328 GN=ZIOFF_012018 PE=3 SV=1</t>
  </si>
  <si>
    <t>A0A8J5M1V6</t>
  </si>
  <si>
    <t>Large ribosomal subunit protein uL15/eL18 domain-containing protein OS=Zingiber officinale OX=94328 GN=ZIOFF_005808 PE=3 SV=1</t>
  </si>
  <si>
    <t>A0A8J5M0G1</t>
  </si>
  <si>
    <t>Uncharacterized protein OS=Zingiber officinale OX=94328 GN=ZIOFF_012490 PE=4 SV=1</t>
  </si>
  <si>
    <t>A0A8J5LZN8</t>
  </si>
  <si>
    <t>Adenosylhomocysteinase OS=Zingiber officinale OX=94328 GN=ZIOFF_010598 PE=3 SV=1</t>
  </si>
  <si>
    <t>A0A8J5LZG6</t>
  </si>
  <si>
    <t>5-methyltetrahydropteroyltriglutamate--homocysteine S-methyltransferase OS=Zingiber officinale OX=94328 GN=ZIOFF_002989 PE=3 SV=1</t>
  </si>
  <si>
    <t>A0A8J5LYU9</t>
  </si>
  <si>
    <t>NADP-dependent glyceraldehyde-3-phosphate dehydrogenase OS=Zingiber officinale OX=94328 GN=ZIOFF_002064 PE=3 SV=1</t>
  </si>
  <si>
    <t>A0A8J5LXG5</t>
  </si>
  <si>
    <t>Polyadenylate-binding protein OS=Zingiber officinale OX=94328 GN=ZIOFF_008757 PE=3 SV=1</t>
  </si>
  <si>
    <t>A0A8J5LX66</t>
  </si>
  <si>
    <t>Phospholipase D alpha 1 OS=Zingiber officinale OX=94328 GN=ZIOFF_016258 PE=3 SV=1</t>
  </si>
  <si>
    <t>A0A8J5LWQ1</t>
  </si>
  <si>
    <t>Large ribosomal subunit protein eL14 domain-containing protein OS=Zingiber officinale OX=94328 GN=ZIOFF_003271 PE=3 SV=1</t>
  </si>
  <si>
    <t>A0A8J5LVP0</t>
  </si>
  <si>
    <t>Xyloglucan endotransglucosylase/hydrolase OS=Zingiber officinale OX=94328 GN=ZIOFF_016832 PE=3 SV=1</t>
  </si>
  <si>
    <t>A0A8J5LU23</t>
  </si>
  <si>
    <t>Clathrin heavy chain OS=Zingiber officinale OX=94328 GN=ZIOFF_013253 PE=3 SV=1</t>
  </si>
  <si>
    <t>A0A8J5LU07</t>
  </si>
  <si>
    <t>Alpha-1,4 glucan phosphorylase OS=Zingiber officinale OX=94328 GN=ZIOFF_013192 PE=3 SV=1</t>
  </si>
  <si>
    <t>A0A8J5LTQ0</t>
  </si>
  <si>
    <t>Vacuolar proton pump subunit B OS=Zingiber officinale OX=94328 GN=ZIOFF_008427 PE=3 SV=1</t>
  </si>
  <si>
    <t>A0A8J5LTL4</t>
  </si>
  <si>
    <t>Peroxidase 1 OS=Zingiber officinale OX=94328 GN=ZIOFF_008275 PE=3 SV=1</t>
  </si>
  <si>
    <t>A0A8J5LTJ1</t>
  </si>
  <si>
    <t>Nucleoside diphosphate kinase OS=Zingiber officinale OX=94328 GN=ZIOFF_008155 PE=3 SV=1</t>
  </si>
  <si>
    <t>A0A8J5LTD2</t>
  </si>
  <si>
    <t>Ribosomal protein L3 OS=Zingiber officinale OX=94328 GN=ZIOFF_019807 PE=3 SV=1</t>
  </si>
  <si>
    <t>A0A8J5LRY7</t>
  </si>
  <si>
    <t>40S ribosomal protein S4 OS=Zingiber officinale OX=94328 GN=ZIOFF_001315 PE=3 SV=1</t>
  </si>
  <si>
    <t>A0A8J5LRJ5</t>
  </si>
  <si>
    <t>40S ribosomal protein S7 OS=Zingiber officinale OX=94328 GN=ZIOFF_009550 PE=3 SV=1</t>
  </si>
  <si>
    <t>A0A8J5LQZ6</t>
  </si>
  <si>
    <t>Proteasome subunit beta OS=Zingiber officinale OX=94328 GN=ZIOFF_012841 PE=3 SV=1</t>
  </si>
  <si>
    <t>A0A8J5LNN6</t>
  </si>
  <si>
    <t>Alpha-1,4 glucan phosphorylase OS=Zingiber officinale OX=94328 GN=ZIOFF_009243 PE=3 SV=1</t>
  </si>
  <si>
    <t>A0A8J5LMS6</t>
  </si>
  <si>
    <t>linoleate 13S-lipoxygenase OS=Zingiber officinale OX=94328 GN=ZIOFF_005715 PE=3 SV=1</t>
  </si>
  <si>
    <t>A0A8J5LMN2</t>
  </si>
  <si>
    <t>Serine protease EDA2 OS=Zingiber officinale OX=94328 GN=ZIOFF_022290 PE=3 SV=1</t>
  </si>
  <si>
    <t>A0A8J5LMJ6</t>
  </si>
  <si>
    <t>Short-chain dehydrogenase TIC 32, chloroplastic OS=Zingiber officinale OX=94328 GN=ZIOFF_018656 PE=4 SV=1</t>
  </si>
  <si>
    <t>A0A8J5LMG5</t>
  </si>
  <si>
    <t>26S proteasome non-ATPase regulatory subunit 2 homolog OS=Zingiber officinale OX=94328 GN=ZIOFF_018870 PE=3 SV=1</t>
  </si>
  <si>
    <t>A0A8J5LLZ1</t>
  </si>
  <si>
    <t>40S ribosomal protein SA OS=Zingiber officinale OX=94328 GN=ZIOFF_004558 PE=4 SV=1</t>
  </si>
  <si>
    <t>A0A8J5LK15</t>
  </si>
  <si>
    <t>Large ribosomal subunit protein uL15/eL18 domain-containing protein OS=Zingiber officinale OX=94328 GN=ZIOFF_025830 PE=3 SV=1</t>
  </si>
  <si>
    <t>A0A8J5LJI5</t>
  </si>
  <si>
    <t>Malate dehydrogenase OS=Zingiber officinale OX=94328 GN=ZIOFF_009609 PE=3 SV=1</t>
  </si>
  <si>
    <t>A0A8J5LJH3</t>
  </si>
  <si>
    <t>40S ribosomal protein S6 OS=Zingiber officinale OX=94328 GN=ZIOFF_024946 PE=3 SV=1</t>
  </si>
  <si>
    <t>A0A8J5LJH0</t>
  </si>
  <si>
    <t>DNA/RNA-binding protein Alba-like domain-containing protein OS=Zingiber officinale OX=94328 GN=ZIOFF_021262 PE=3 SV=1</t>
  </si>
  <si>
    <t>A0A8J5LIM4</t>
  </si>
  <si>
    <t>60S ribosomal protein L13 OS=Zingiber officinale OX=94328 GN=ZIOFF_020293 PE=3 SV=1</t>
  </si>
  <si>
    <t>A0A8J5LI97</t>
  </si>
  <si>
    <t>Small ribosomal subunit protein uS7c OS=Zingiber officinale OX=94328 GN=ZIOFF_017415 PE=3 SV=1</t>
  </si>
  <si>
    <t>A0A8J5LHW7</t>
  </si>
  <si>
    <t>Guanosine nucleotide diphosphate dissociation inhibitor OS=Zingiber officinale OX=94328 GN=ZIOFF_026332 PE=3 SV=1</t>
  </si>
  <si>
    <t>A0A8J5LHL8</t>
  </si>
  <si>
    <t>Uncharacterized protein OS=Zingiber officinale OX=94328 GN=ZIOFF_022768 PE=3 SV=1</t>
  </si>
  <si>
    <t>A0A8J5LHG8</t>
  </si>
  <si>
    <t>Cysteine protease OS=Zingiber officinale OX=94328 GN=ZIOFF_030161 PE=3 SV=1</t>
  </si>
  <si>
    <t>A0A8J5LHB9</t>
  </si>
  <si>
    <t>Serine protease EDA2 OS=Zingiber officinale OX=94328 GN=ZIOFF_022291 PE=3 SV=1</t>
  </si>
  <si>
    <t>A0A8J5LGJ4</t>
  </si>
  <si>
    <t>Short-chain dehydrogenase TIC 32, chloroplastic OS=Zingiber officinale OX=94328 GN=ZIOFF_021565 PE=4 SV=1</t>
  </si>
  <si>
    <t>A0A8J5LFR4</t>
  </si>
  <si>
    <t>DNA/RNA-binding protein Alba-like domain-containing protein OS=Zingiber officinale OX=94328 GN=ZIOFF_015839 PE=3 SV=1</t>
  </si>
  <si>
    <t>A0A8J5LFA9</t>
  </si>
  <si>
    <t>Uncharacterized protein OS=Zingiber officinale OX=94328 GN=ZIOFF_028734 PE=4 SV=1</t>
  </si>
  <si>
    <t>A0A8J5LF05</t>
  </si>
  <si>
    <t>Ribosomal protein L10e/L16 domain-containing protein OS=Zingiber officinale OX=94328 GN=ZIOFF_026711 PE=3 SV=1</t>
  </si>
  <si>
    <t>A0A8J5LED1</t>
  </si>
  <si>
    <t>40S ribosomal protein S18 OS=Zingiber officinale OX=94328 GN=ZIOFF_029331 PE=3 SV=1</t>
  </si>
  <si>
    <t>A0A8J5LDX9</t>
  </si>
  <si>
    <t>HSF-type DNA-binding domain-containing protein OS=Zingiber officinale OX=94328 GN=ZIOFF_025005 PE=3 SV=1</t>
  </si>
  <si>
    <t>A0A8J5LDQ6</t>
  </si>
  <si>
    <t>Coatomer subunit beta' OS=Zingiber officinale OX=94328 GN=ZIOFF_024803 PE=3 SV=1</t>
  </si>
  <si>
    <t>A0A8J5LDP7</t>
  </si>
  <si>
    <t>Uncharacterized protein OS=Zingiber officinale OX=94328 GN=ZIOFF_024769 PE=4 SV=1</t>
  </si>
  <si>
    <t>A0A8J5LDC9</t>
  </si>
  <si>
    <t>fructokinase OS=Zingiber officinale OX=94328 GN=ZIOFF_014019 PE=3 SV=1</t>
  </si>
  <si>
    <t>A0A8J5LD53</t>
  </si>
  <si>
    <t>RRM domain-containing protein OS=Zingiber officinale OX=94328 GN=ZIOFF_023918 PE=3 SV=1</t>
  </si>
  <si>
    <t>A0A8J5LCL3</t>
  </si>
  <si>
    <t>Eukaryotic translation initiation factor 3 subunit D OS=Zingiber officinale OX=94328 GN=ZIOFF_033494 PE=3 SV=1</t>
  </si>
  <si>
    <t>A0A8J5LBV4</t>
  </si>
  <si>
    <t>Glucose-methanol-choline oxidoreductase N-terminal domain-containing protein OS=Zingiber officinale OX=94328 GN=ZIOFF_033063 PE=3 SV=1</t>
  </si>
  <si>
    <t>A0A8J5LBU8</t>
  </si>
  <si>
    <t>Guanine nucleotide-binding protein subunit beta-like protein A OS=Zingiber officinale OX=94328 GN=ZIOFF_032850 PE=3 SV=1</t>
  </si>
  <si>
    <t>A0A8J5LBF0</t>
  </si>
  <si>
    <t>Large ribosomal subunit protein uL10-like insertion domain-containing protein OS=Zingiber officinale OX=94328 GN=ZIOFF_030436 PE=3 SV=1</t>
  </si>
  <si>
    <t>A0A8J5LB65</t>
  </si>
  <si>
    <t>6-phosphogluconate dehydrogenase, decarboxylating OS=Zingiber officinale OX=94328 GN=ZIOFF_018717 PE=3 SV=1</t>
  </si>
  <si>
    <t>A0A8J5LB47</t>
  </si>
  <si>
    <t>Short-chain dehydrogenase TIC 32, chloroplastic OS=Zingiber officinale OX=94328 GN=ZIOFF_018655 PE=3 SV=1</t>
  </si>
  <si>
    <t>A0A8J5LB35</t>
  </si>
  <si>
    <t>60S ribosomal protein L13 OS=Zingiber officinale OX=94328 GN=ZIOFF_026309 PE=3 SV=1</t>
  </si>
  <si>
    <t>A0A8J5LAV0</t>
  </si>
  <si>
    <t>Ribosomal protein L35A OS=Zingiber officinale OX=94328 GN=ZIOFF_031514 PE=3 SV=1</t>
  </si>
  <si>
    <t>A0A8J5LAS6</t>
  </si>
  <si>
    <t>Ribosomal protein L10e/L16 domain-containing protein OS=Zingiber officinale OX=94328 GN=ZIOFF_029674 PE=3 SV=1</t>
  </si>
  <si>
    <t>A0A8J5LAM0</t>
  </si>
  <si>
    <t>RRM domain-containing protein OS=Zingiber officinale OX=94328 GN=ZIOFF_032280 PE=3 SV=1</t>
  </si>
  <si>
    <t>A0A8J5LA22</t>
  </si>
  <si>
    <t>Isocitrate dehydrogenase [NADP] OS=Zingiber officinale OX=94328 GN=ZIOFF_031515 PE=3 SV=1</t>
  </si>
  <si>
    <t>A0A8J5L9X1</t>
  </si>
  <si>
    <t>RRM domain-containing protein OS=Zingiber officinale OX=94328 GN=ZIOFF_029053 PE=4 SV=1</t>
  </si>
  <si>
    <t>A0A8J5L9W1</t>
  </si>
  <si>
    <t>Small ribosomal subunit protein eS1 OS=Zingiber officinale OX=94328 GN=ZIOFF_029038 PE=3 SV=1</t>
  </si>
  <si>
    <t>A0A8J5L9Q7</t>
  </si>
  <si>
    <t>Small ribosomal subunit protein uS5 OS=Zingiber officinale OX=94328 GN=ZIOFF_028929 PE=3 SV=1</t>
  </si>
  <si>
    <t>A0A8J5L990</t>
  </si>
  <si>
    <t>Small ribosomal subunit protein eS21 OS=Zingiber officinale OX=94328 GN=ZIOFF_018999 PE=3 SV=1</t>
  </si>
  <si>
    <t>A0A8J5L947</t>
  </si>
  <si>
    <t>Large ribosomal subunit protein uL6 alpha-beta domain-containing protein OS=Zingiber officinale OX=94328 GN=ZIOFF_033734 PE=3 SV=1</t>
  </si>
  <si>
    <t>A0A8J5L911</t>
  </si>
  <si>
    <t>Elongation factor 1-alpha OS=Zingiber officinale OX=94328 GN=ZIOFF_022091 PE=3 SV=1</t>
  </si>
  <si>
    <t>A0A8J5L901</t>
  </si>
  <si>
    <t>phosphoenolpyruvate carboxylase OS=Zingiber officinale OX=94328 GN=ZIOFF_037062 PE=3 SV=1</t>
  </si>
  <si>
    <t>A0A8J5L8D7</t>
  </si>
  <si>
    <t>60S ribosomal protein L23 OS=Zingiber officinale OX=94328 GN=ZIOFF_021215 PE=3 SV=1</t>
  </si>
  <si>
    <t>A0A8J5L8B8</t>
  </si>
  <si>
    <t>TCTP domain-containing protein OS=Zingiber officinale OX=94328 GN=ZIOFF_034353 PE=3 SV=1</t>
  </si>
  <si>
    <t>A0A8J5L7C2</t>
  </si>
  <si>
    <t>glutaredoxin-dependent peroxiredoxin OS=Zingiber officinale OX=94328 GN=ZIOFF_026269 PE=3 SV=1</t>
  </si>
  <si>
    <t>A0A8J5L5S6</t>
  </si>
  <si>
    <t>40S ribosomal protein S7 OS=Zingiber officinale OX=94328 GN=ZIOFF_031879 PE=3 SV=1</t>
  </si>
  <si>
    <t>A0A8J5L4N4</t>
  </si>
  <si>
    <t>Bulb-type lectin domain-containing protein OS=Zingiber officinale OX=94328 GN=ZIOFF_030126 PE=4 SV=1</t>
  </si>
  <si>
    <t>A0A8J5L3P8</t>
  </si>
  <si>
    <t>60S ribosomal protein L32-1 OS=Zingiber officinale OX=94328 GN=ZIOFF_028653 PE=3 SV=1</t>
  </si>
  <si>
    <t>A0A8J5L379</t>
  </si>
  <si>
    <t>Peroxidase 1 OS=Zingiber officinale OX=94328 GN=ZIOFF_027988 PE=3 SV=1</t>
  </si>
  <si>
    <t>A0A8J5L2P8</t>
  </si>
  <si>
    <t>Short-chain dehydrogenase TIC 32, chloroplastic OS=Zingiber officinale OX=94328 GN=ZIOFF_036671 PE=3 SV=1</t>
  </si>
  <si>
    <t>A0A8J5L2I1</t>
  </si>
  <si>
    <t>Glucose-methanol-choline oxidoreductase N-terminal domain-containing protein OS=Zingiber officinale OX=94328 GN=ZIOFF_036625 PE=3 SV=1</t>
  </si>
  <si>
    <t>A0A8J5L264</t>
  </si>
  <si>
    <t>60S ribosomal protein L10a OS=Zingiber officinale OX=94328 GN=ZIOFF_034019 PE=3 SV=1</t>
  </si>
  <si>
    <t>A0A8J5L255</t>
  </si>
  <si>
    <t>Oryzain alpha chain OS=Zingiber officinale OX=94328 GN=ZIOFF_034710 PE=3 SV=1</t>
  </si>
  <si>
    <t>A0A8J5L1Z2</t>
  </si>
  <si>
    <t>Succinate dehydrogenase [ubiquinone] flavoprotein subunit, mitochondrial OS=Zingiber officinale OX=94328 GN=ZIOFF_046148 PE=3 SV=1</t>
  </si>
  <si>
    <t>A0A8J5L1V2</t>
  </si>
  <si>
    <t>Translation elongation factor IF5A C-terminal domain-containing protein OS=Zingiber officinale OX=94328 GN=ZIOFF_033529 PE=3 SV=1</t>
  </si>
  <si>
    <t>A0A8J5L1H1</t>
  </si>
  <si>
    <t>Aminopeptidase OS=Zingiber officinale OX=94328 GN=ZIOFF_041146 PE=3 SV=1</t>
  </si>
  <si>
    <t>A0A8J5L138</t>
  </si>
  <si>
    <t>14-3-3 domain-containing protein OS=Zingiber officinale OX=94328 GN=ZIOFF_032277 PE=3 SV=1</t>
  </si>
  <si>
    <t>A0A8J5L0Z8</t>
  </si>
  <si>
    <t>glycerophosphodiester phosphodiesterase OS=Zingiber officinale OX=94328 GN=ZIOFF_040410 PE=3 SV=1</t>
  </si>
  <si>
    <t>A0A8J5L0T7</t>
  </si>
  <si>
    <t>Large ribosomal subunit protein uL15/eL18 domain-containing protein OS=Zingiber officinale OX=94328 GN=ZIOFF_045106 PE=3 SV=1</t>
  </si>
  <si>
    <t>A0A8J5L0R6</t>
  </si>
  <si>
    <t>Formate dehydrogenase, mitochondrial OS=Zingiber officinale OX=94328 GN=ZIOFF_040180 PE=3 SV=1</t>
  </si>
  <si>
    <t>A0A8J5KZS3</t>
  </si>
  <si>
    <t>Monocopper oxidase-like protein SKU5 OS=Zingiber officinale OX=94328 GN=ZIOFF_038878 PE=3 SV=1</t>
  </si>
  <si>
    <t>A0A8J5KZG2</t>
  </si>
  <si>
    <t>Uncharacterized protein OS=Zingiber officinale OX=94328 GN=ZIOFF_043255 PE=3 SV=1</t>
  </si>
  <si>
    <t>A0A8J5KZ31</t>
  </si>
  <si>
    <t>TRASH domain-containing protein OS=Zingiber officinale OX=94328 GN=ZIOFF_042098 PE=3 SV=1</t>
  </si>
  <si>
    <t>A0A8J5KYY3</t>
  </si>
  <si>
    <t>peroxidase OS=Zingiber officinale OX=94328 GN=ZIOFF_041627 PE=3 SV=1</t>
  </si>
  <si>
    <t>A0A8J5KYW8</t>
  </si>
  <si>
    <t>60S ribosomal protein L7a OS=Zingiber officinale OX=94328 GN=ZIOFF_041914 PE=3 SV=1</t>
  </si>
  <si>
    <t>A0A8J5KY37</t>
  </si>
  <si>
    <t>Uncharacterized protein OS=Zingiber officinale OX=94328 GN=ZIOFF_035904 PE=3 SV=1</t>
  </si>
  <si>
    <t>A0A8J5KY20</t>
  </si>
  <si>
    <t>60S ribosomal protein L35 OS=Zingiber officinale OX=94328 GN=ZIOFF_042592 PE=3 SV=1</t>
  </si>
  <si>
    <t>A0A8J5KXX3</t>
  </si>
  <si>
    <t>Enoyl reductase (ER) domain-containing protein OS=Zingiber officinale OX=94328 GN=ZIOFF_048762 PE=3 SV=1</t>
  </si>
  <si>
    <t>A0A8J5KXW5</t>
  </si>
  <si>
    <t>Nucleolar protein 56 OS=Zingiber officinale OX=94328 GN=ZIOFF_045061 PE=3 SV=1</t>
  </si>
  <si>
    <t>A0A8J5KX55</t>
  </si>
  <si>
    <t>Triosephosphate isomerase, cytosolic OS=Zingiber officinale OX=94328 GN=ZIOFF_048959 PE=3 SV=1</t>
  </si>
  <si>
    <t>A0A8J5KVI7</t>
  </si>
  <si>
    <t>Ribosomal protein OS=Zingiber officinale OX=94328 GN=ZIOFF_040826 PE=3 SV=1</t>
  </si>
  <si>
    <t>A0A8J5KVB3</t>
  </si>
  <si>
    <t>Ribosomal protein eL8/eL30/eS12/Gadd45 domain-containing protein OS=Zingiber officinale OX=94328 GN=ZIOFF_049542 PE=3 SV=1</t>
  </si>
  <si>
    <t>A0A8J5KV68</t>
  </si>
  <si>
    <t>KH type-2 domain-containing protein OS=Zingiber officinale OX=94328 GN=ZIOFF_049415 PE=3 SV=1</t>
  </si>
  <si>
    <t>A0A8J5KUJ1</t>
  </si>
  <si>
    <t>Tr-type G domain-containing protein OS=Zingiber officinale OX=94328 GN=ZIOFF_039740 PE=4 SV=1</t>
  </si>
  <si>
    <t>A0A8J5KTU7</t>
  </si>
  <si>
    <t>Uncharacterized protein OS=Zingiber officinale OX=94328 GN=ZIOFF_050769 PE=3 SV=1</t>
  </si>
  <si>
    <t>A0A8J5KTM6</t>
  </si>
  <si>
    <t>Proteasome subunit beta OS=Zingiber officinale OX=94328 GN=ZIOFF_047373 PE=3 SV=1</t>
  </si>
  <si>
    <t>A0A8J5KTL3</t>
  </si>
  <si>
    <t>Sucrose synthase OS=Zingiber officinale OX=94328 GN=ZIOFF_039373 PE=3 SV=1</t>
  </si>
  <si>
    <t>A0A8J5KQW5</t>
  </si>
  <si>
    <t>RNA helicase OS=Zingiber officinale OX=94328 GN=ZIOFF_043906 PE=4 SV=1</t>
  </si>
  <si>
    <t>A0A8J5KQK8</t>
  </si>
  <si>
    <t>Guanosine nucleotide diphosphate dissociation inhibitor OS=Zingiber officinale OX=94328 GN=ZIOFF_047582 PE=3 SV=1</t>
  </si>
  <si>
    <t>A0A8J5KP54</t>
  </si>
  <si>
    <t>Proteasome subunit alpha type OS=Zingiber officinale OX=94328 GN=ZIOFF_054162 PE=3 SV=1</t>
  </si>
  <si>
    <t>A0A8J5KNQ8</t>
  </si>
  <si>
    <t>Glucose-6-phosphate isomerase OS=Zingiber officinale OX=94328 GN=ZIOFF_042408 PE=3 SV=1</t>
  </si>
  <si>
    <t>A0A8J5KMQ2</t>
  </si>
  <si>
    <t>40S ribosomal protein S29 OS=Zingiber officinale OX=94328 GN=ZIOFF_053022 PE=3 SV=1</t>
  </si>
  <si>
    <t>A0A8J5KLK1</t>
  </si>
  <si>
    <t>Uncharacterized protein OS=Zingiber officinale OX=94328 GN=ZIOFF_049734 PE=3 SV=1</t>
  </si>
  <si>
    <t>A0A8J5KL86</t>
  </si>
  <si>
    <t>Proteasome subunit beta OS=Zingiber officinale OX=94328 GN=ZIOFF_060727 PE=3 SV=1</t>
  </si>
  <si>
    <t>A0A8J5KKY4</t>
  </si>
  <si>
    <t>ABC transporter domain-containing protein OS=Zingiber officinale OX=94328 GN=ZIOFF_057369 PE=3 SV=1</t>
  </si>
  <si>
    <t>A0A8J5KJB4</t>
  </si>
  <si>
    <t>Coatomer subunit beta' OS=Zingiber officinale OX=94328 GN=ZIOFF_054268 PE=3 SV=1</t>
  </si>
  <si>
    <t>A0A8J5KJ38</t>
  </si>
  <si>
    <t>Sigma 54 modulation/S30EA ribosomal protein C-terminal domain-containing protein OS=Zingiber officinale OX=94328 GN=ZIOFF_054016 PE=3 SV=1</t>
  </si>
  <si>
    <t>A0A8J5KIP5</t>
  </si>
  <si>
    <t>RNA helicase OS=Zingiber officinale OX=94328 GN=ZIOFF_057720 PE=3 SV=1</t>
  </si>
  <si>
    <t>A0A8J5KIJ2</t>
  </si>
  <si>
    <t>40S ribosomal protein S19 OS=Zingiber officinale OX=94328 GN=ZIOFF_058716 PE=3 SV=1</t>
  </si>
  <si>
    <t>A0A8J5KIA2</t>
  </si>
  <si>
    <t>Uncharacterized protein OS=Zingiber officinale OX=94328 GN=ZIOFF_057232 PE=3 SV=1</t>
  </si>
  <si>
    <t>A0A8J5KHY8</t>
  </si>
  <si>
    <t>Malate dehydrogenase OS=Zingiber officinale OX=94328 GN=ZIOFF_060860 PE=3 SV=1</t>
  </si>
  <si>
    <t>A0A8J5KHT5</t>
  </si>
  <si>
    <t>T-complex protein 1 subunit eta OS=Zingiber officinale OX=94328 GN=ZIOFF_058365 PE=3 SV=1</t>
  </si>
  <si>
    <t>A0A8J5KHL0</t>
  </si>
  <si>
    <t>Aconitate hydratase OS=Zingiber officinale OX=94328 GN=ZIOFF_058213 PE=3 SV=1</t>
  </si>
  <si>
    <t>A0A8J5KHG4</t>
  </si>
  <si>
    <t>ATP synthase subunit O, mitochondrial OS=Zingiber officinale OX=94328 GN=ZIOFF_058093 PE=3 SV=1</t>
  </si>
  <si>
    <t>A0A8J5KGM1</t>
  </si>
  <si>
    <t>RNA helicase OS=Zingiber officinale OX=94328 GN=ZIOFF_050629 PE=3 SV=1</t>
  </si>
  <si>
    <t>A0A8J5KFB5</t>
  </si>
  <si>
    <t>Proteasome subunit beta OS=Zingiber officinale OX=94328 GN=ZIOFF_056324 PE=3 SV=1</t>
  </si>
  <si>
    <t>A0A8J5KEF0</t>
  </si>
  <si>
    <t>glutathione transferase OS=Zingiber officinale OX=94328 GN=ZIOFF_055256 PE=3 SV=1</t>
  </si>
  <si>
    <t>A0A8J5KED6</t>
  </si>
  <si>
    <t>60S ribosomal protein L6 OS=Zingiber officinale OX=94328 GN=ZIOFF_062271 PE=3 SV=1</t>
  </si>
  <si>
    <t>A0A8J5KEB8</t>
  </si>
  <si>
    <t>Uncharacterized protein OS=Zingiber officinale OX=94328 GN=ZIOFF_061165 PE=3 SV=1</t>
  </si>
  <si>
    <t>A0A8J5KDP6</t>
  </si>
  <si>
    <t>Histone H2A/H2B/H3 domain-containing protein OS=Zingiber officinale OX=94328 GN=ZIOFF_054464 PE=3 SV=1</t>
  </si>
  <si>
    <t>A0A8J5KCU7</t>
  </si>
  <si>
    <t>glutamate dehydrogenase [NAD(P)(+)] OS=Zingiber officinale OX=94328 GN=ZIOFF_053312 PE=3 SV=1</t>
  </si>
  <si>
    <t>A0A8J5KBF2</t>
  </si>
  <si>
    <t>Ribosomal protein L15 OS=Zingiber officinale OX=94328 GN=ZIOFF_065337 PE=3 SV=1</t>
  </si>
  <si>
    <t>A0A8J5KAR0</t>
  </si>
  <si>
    <t>Large ribosomal subunit protein eL14 domain-containing protein OS=Zingiber officinale OX=94328 GN=ZIOFF_058239 PE=3 SV=1</t>
  </si>
  <si>
    <t>A0A8J5K9X9</t>
  </si>
  <si>
    <t>ATP-dependent 6-phosphofructokinase OS=Zingiber officinale OX=94328 GN=PFK PE=3 SV=1</t>
  </si>
  <si>
    <t>A0A8J5K9W1</t>
  </si>
  <si>
    <t>UDP-glucose 6-dehydrogenase OS=Zingiber officinale OX=94328 GN=ZIOFF_061508 PE=3 SV=1</t>
  </si>
  <si>
    <t>A0A8J5K9T8</t>
  </si>
  <si>
    <t>Ribosomal protein L1 OS=Zingiber officinale OX=94328 GN=ZIOFF_063578 PE=4 SV=1</t>
  </si>
  <si>
    <t>A0A8J5K8A0</t>
  </si>
  <si>
    <t>40S ribosomal protein S16 OS=Zingiber officinale OX=94328 GN=ZIOFF_064418 PE=3 SV=1</t>
  </si>
  <si>
    <t>A0A8J5K6T3</t>
  </si>
  <si>
    <t>Phosphofructokinase domain-containing protein OS=Zingiber officinale OX=94328 GN=ZIOFF_064817 PE=4 SV=1</t>
  </si>
  <si>
    <t>A0A8J5ISB3</t>
  </si>
  <si>
    <t>Peptidyl-prolyl cis-trans isomerase OS=Zingiber officinale OX=94328 GN=ZIOFF_003071 PE=3 SV=1</t>
  </si>
  <si>
    <t>A0A8J5IS99</t>
  </si>
  <si>
    <t>K Homology domain-containing protein OS=Zingiber officinale OX=94328 GN=ZIOFF_003041 PE=4 SV=1</t>
  </si>
  <si>
    <t>A0A8J5IMP9</t>
  </si>
  <si>
    <t>Plectin/eS10 N-terminal domain-containing protein OS=Zingiber officinale OX=94328 GN=ZIOFF_003128 PE=3 SV=1</t>
  </si>
  <si>
    <t>A0A8J5IMI9</t>
  </si>
  <si>
    <t>Large ribosomal subunit protein uL4 C-terminal domain-containing protein OS=Zingiber officinale OX=94328 GN=ZIOFF_002978 PE=3 SV=1</t>
  </si>
  <si>
    <t>A0A8J5IIH2</t>
  </si>
  <si>
    <t>Histone H4 OS=Zingiber officinale OX=94328 GN=ZIOFF_000738 PE=3 SV=1</t>
  </si>
  <si>
    <t>A0A8J5IGV0</t>
  </si>
  <si>
    <t>Annexin OS=Zingiber officinale OX=94328 GN=ZIOFF_008762 PE=4 SV=1</t>
  </si>
  <si>
    <t>A0A8J5IFF3</t>
  </si>
  <si>
    <t>Ras-related protein Rab7 OS=Zingiber officinale OX=94328 GN=ZIOFF_007882 PE=3 SV=1</t>
  </si>
  <si>
    <t>A0A8J5IEQ0</t>
  </si>
  <si>
    <t>40S ribosomal protein S15 OS=Zingiber officinale OX=94328 GN=ZIOFF_004293 PE=3 SV=1</t>
  </si>
  <si>
    <t>A0A8J5IE62</t>
  </si>
  <si>
    <t>40S ribosomal protein S19 OS=Zingiber officinale OX=94328 GN=ZIOFF_006350 PE=3 SV=1</t>
  </si>
  <si>
    <t>A0A8J5IE53</t>
  </si>
  <si>
    <t>non-reducing end alpha-L-arabinofuranosidase OS=Zingiber officinale OX=94328 GN=ZIOFF_007650 PE=3 SV=1</t>
  </si>
  <si>
    <t>A0A8J5IE52</t>
  </si>
  <si>
    <t>60S ribosomal protein L35 OS=Zingiber officinale OX=94328 GN=ZIOFF_003940 PE=3 SV=1</t>
  </si>
  <si>
    <t>A0A8J5IC44</t>
  </si>
  <si>
    <t>RRM domain-containing protein OS=Zingiber officinale OX=94328 GN=ZIOFF_002780 PE=4 SV=1</t>
  </si>
  <si>
    <t>A0A8J5IC30</t>
  </si>
  <si>
    <t>Oryzain alpha chain OS=Zingiber officinale OX=94328 GN=ZIOFF_006560 PE=3 SV=1</t>
  </si>
  <si>
    <t>A0A8J5IB55</t>
  </si>
  <si>
    <t>Annexin OS=Zingiber officinale OX=94328 GN=ZIOFF_004311 PE=4 SV=1</t>
  </si>
  <si>
    <t>A0A8J5I9Q3</t>
  </si>
  <si>
    <t>protein-disulfide reductase OS=Zingiber officinale OX=94328 GN=ZIOFF_004066 PE=3 SV=1</t>
  </si>
  <si>
    <t>A0A8J5I995</t>
  </si>
  <si>
    <t>Adenosylhomocysteinase OS=Zingiber officinale OX=94328 GN=ZIOFF_001088 PE=3 SV=1</t>
  </si>
  <si>
    <t>A0A8J5I962</t>
  </si>
  <si>
    <t>Large ribosomal subunit protein uL2 C-terminal domain-containing protein OS=Zingiber officinale OX=94328 GN=ZIOFF_003738 PE=3 SV=1</t>
  </si>
  <si>
    <t>A0A8J5I6C8</t>
  </si>
  <si>
    <t>Guanine nucleotide-binding protein subunit beta-like protein A OS=Zingiber officinale OX=94328 GN=ZIOFF_001980 PE=3 SV=1</t>
  </si>
  <si>
    <t>A0A8J5I603</t>
  </si>
  <si>
    <t>60S ribosomal protein L18a OS=Zingiber officinale OX=94328 GN=ZIOFF_003039 PE=3 SV=1</t>
  </si>
  <si>
    <t>A0A8J5I4J9</t>
  </si>
  <si>
    <t>Small ribosomal subunit protein uS2 OS=Zingiber officinale OX=94328 GN=ZIOFF_010631 PE=3 SV=1</t>
  </si>
  <si>
    <t>A0A8J5I3X5</t>
  </si>
  <si>
    <t>Large ribosomal subunit protein eL22 OS=Zingiber officinale OX=94328 GN=ZIOFF_009641 PE=3 SV=1</t>
  </si>
  <si>
    <t>A0A8J5I343</t>
  </si>
  <si>
    <t>Large ribosomal subunit protein uL2 C-terminal domain-containing protein OS=Zingiber officinale OX=94328 GN=ZIOFF_008176 PE=3 SV=1</t>
  </si>
  <si>
    <t>A0A8J5I2Y1</t>
  </si>
  <si>
    <t>Cytosol aminopeptidase domain-containing protein OS=Zingiber officinale OX=94328 GN=ZIOFF_006725 PE=3 SV=1</t>
  </si>
  <si>
    <t>A0A8J5I1L5</t>
  </si>
  <si>
    <t>Large ribosomal subunit protein eL22 OS=Zingiber officinale OX=94328 GN=ZIOFF_016428 PE=3 SV=1</t>
  </si>
  <si>
    <t>A0A8J5I0B8</t>
  </si>
  <si>
    <t>Uncharacterized protein OS=Zingiber officinale OX=94328 GN=ZIOFF_012726 PE=3 SV=1</t>
  </si>
  <si>
    <t>A0A8J5HZS2</t>
  </si>
  <si>
    <t>60S ribosomal protein L31 OS=Zingiber officinale OX=94328 GN=ZIOFF_002384 PE=3 SV=1</t>
  </si>
  <si>
    <t>A0A8J5HZG8</t>
  </si>
  <si>
    <t>40S ribosomal protein S25 OS=Zingiber officinale OX=94328 GN=ZIOFF_009423 PE=3 SV=1</t>
  </si>
  <si>
    <t>A0A8J5HZA1</t>
  </si>
  <si>
    <t>Uncharacterized protein OS=Zingiber officinale OX=94328 GN=ZIOFF_012026 PE=3 SV=1</t>
  </si>
  <si>
    <t>A0A8J5HYJ3</t>
  </si>
  <si>
    <t>40S ribosomal protein S28 OS=Zingiber officinale OX=94328 GN=ZIOFF_001376 PE=3 SV=1</t>
  </si>
  <si>
    <t>A0A8J5HXN2</t>
  </si>
  <si>
    <t>Large ribosomal subunit protein eL24-related N-terminal domain-containing protein OS=Zingiber officinale OX=94328 GN=ZIOFF_019245 PE=3 SV=1</t>
  </si>
  <si>
    <t>A0A8J5HX36</t>
  </si>
  <si>
    <t>Large ribosomal subunit protein uL4 C-terminal domain-containing protein OS=Zingiber officinale OX=94328 GN=ZIOFF_009200 PE=3 SV=1</t>
  </si>
  <si>
    <t>A0A8J5HWH8</t>
  </si>
  <si>
    <t>KOW domain-containing protein OS=Zingiber officinale OX=94328 GN=ZIOFF_002178 PE=3 SV=1</t>
  </si>
  <si>
    <t>A0A8J5HUU0</t>
  </si>
  <si>
    <t>60S ribosomal protein L11 OS=Zingiber officinale OX=94328 GN=ZIOFF_010011 PE=3 SV=1</t>
  </si>
  <si>
    <t>A0A8J5HUD3</t>
  </si>
  <si>
    <t>40S ribosomal protein S14 OS=Zingiber officinale OX=94328 GN=ZIOFF_005557 PE=3 SV=1</t>
  </si>
  <si>
    <t>A0A8J5HU87</t>
  </si>
  <si>
    <t>PABP OS=Zingiber officinale OX=94328 GN=ZIOFF_007659 PE=3 SV=1</t>
  </si>
  <si>
    <t>A0A8J5HSU7</t>
  </si>
  <si>
    <t>40S ribosomal protein S19 OS=Zingiber officinale OX=94328 GN=ZIOFF_012752 PE=3 SV=1</t>
  </si>
  <si>
    <t>A0A8J5HSQ7</t>
  </si>
  <si>
    <t>14-3-3 domain-containing protein OS=Zingiber officinale OX=94328 GN=ZIOFF_008645 PE=3 SV=1</t>
  </si>
  <si>
    <t>A0A8J5HSP2</t>
  </si>
  <si>
    <t>Puromycin-sensitive aminopeptidase OS=Zingiber officinale OX=94328 GN=ZIOFF_016388 PE=3 SV=1</t>
  </si>
  <si>
    <t>A0A8J5HS37</t>
  </si>
  <si>
    <t>Retrovirus-related Pol polyprotein from transposon TNT 1-94-like beta-barrel domain-containing protein OS=Zingiber officinale OX=94328 GN=ZIOFF_016019 PE=3 SV=1</t>
  </si>
  <si>
    <t>A0A8J5HRM1</t>
  </si>
  <si>
    <t>KOW domain-containing protein OS=Zingiber officinale OX=94328 GN=ZIOFF_007638 PE=3 SV=1</t>
  </si>
  <si>
    <t>A0A8J5HR62</t>
  </si>
  <si>
    <t>40S ribosomal protein S4 OS=Zingiber officinale OX=94328 GN=ZIOFF_005660 PE=3 SV=1</t>
  </si>
  <si>
    <t>A0A8J5HQH1</t>
  </si>
  <si>
    <t>Uncharacterized protein OS=Zingiber officinale OX=94328 GN=ZIOFF_018551 PE=3 SV=1</t>
  </si>
  <si>
    <t>A0A8J5HQD9</t>
  </si>
  <si>
    <t>40S ribosomal protein S4 OS=Zingiber officinale OX=94328 GN=ZIOFF_010793 PE=3 SV=1</t>
  </si>
  <si>
    <t>A0A8J5HPY5</t>
  </si>
  <si>
    <t>40S ribosomal protein S7 OS=Zingiber officinale OX=94328 GN=ZIOFF_012997 PE=3 SV=1</t>
  </si>
  <si>
    <t>A0A8J5HPF9</t>
  </si>
  <si>
    <t>Small ribosomal subunit protein uS15 N-terminal domain-containing protein OS=Zingiber officinale OX=94328 GN=ZIOFF_002612 PE=3 SV=1</t>
  </si>
  <si>
    <t>A0A8J5HME3</t>
  </si>
  <si>
    <t>40S ribosomal protein S7 OS=Zingiber officinale OX=94328 GN=ZIOFF_009045 PE=3 SV=1</t>
  </si>
  <si>
    <t>A0A8J5HM18</t>
  </si>
  <si>
    <t>Uncharacterized protein OS=Zingiber officinale OX=94328 GN=ZIOFF_022799 PE=4 SV=1</t>
  </si>
  <si>
    <t>A0A8J5HLZ3</t>
  </si>
  <si>
    <t>NADP-dependent oxidoreductase domain-containing protein OS=Zingiber officinale OX=94328 GN=ZIOFF_019442 PE=4 SV=1</t>
  </si>
  <si>
    <t>A0A8J5HLV1</t>
  </si>
  <si>
    <t>Uncharacterized protein OS=Zingiber officinale OX=94328 GN=ZIOFF_012581 PE=3 SV=1</t>
  </si>
  <si>
    <t>A0A8J5HJX2</t>
  </si>
  <si>
    <t>Large ribosomal subunit protein eL22 OS=Zingiber officinale OX=94328 GN=ZIOFF_016421 PE=3 SV=1</t>
  </si>
  <si>
    <t>A0A8J5HJ65</t>
  </si>
  <si>
    <t>Polyadenylate-binding protein OS=Zingiber officinale OX=94328 GN=ZIOFF_020883 PE=3 SV=1</t>
  </si>
  <si>
    <t>A0A8J5HIA5</t>
  </si>
  <si>
    <t>Small ribosomal subunit protein uS10 domain-containing protein OS=Zingiber officinale OX=94328 GN=ZIOFF_020403 PE=3 SV=1</t>
  </si>
  <si>
    <t>A0A8J5HHW0</t>
  </si>
  <si>
    <t>Large ribosomal subunit protein eL14 domain-containing protein OS=Zingiber officinale OX=94328 GN=ZIOFF_019493 PE=3 SV=1</t>
  </si>
  <si>
    <t>A0A8J5HHL6</t>
  </si>
  <si>
    <t>Protein argonaute 1-like OS=Zingiber officinale OX=94328 GN=ZIOFF_009390 PE=3 SV=1</t>
  </si>
  <si>
    <t>A0A8J5HGG6</t>
  </si>
  <si>
    <t>Histone H4 OS=Zingiber officinale OX=94328 GN=ZIOFF_026289 PE=3 SV=1</t>
  </si>
  <si>
    <t>A0A8J5HGA2</t>
  </si>
  <si>
    <t>Fructose-bisphosphate aldolase OS=Zingiber officinale OX=94328 GN=ZIOFF_013614 PE=3 SV=1</t>
  </si>
  <si>
    <t>A0A8J5HFN4</t>
  </si>
  <si>
    <t>Uncharacterized protein OS=Zingiber officinale OX=94328 GN=ZIOFF_015944 PE=3 SV=1</t>
  </si>
  <si>
    <t>A0A8J5HFE0</t>
  </si>
  <si>
    <t>Large ribosomal subunit protein uL15/eL18 domain-containing protein OS=Zingiber officinale OX=94328 GN=ZIOFF_016280 PE=3 SV=1</t>
  </si>
  <si>
    <t>A0A8J5HFD9</t>
  </si>
  <si>
    <t>Small ribosomal subunit protein uS7c OS=Zingiber officinale OX=94328 GN=ZIOFF_014860 PE=3 SV=1</t>
  </si>
  <si>
    <t>A0A8J5HFD5</t>
  </si>
  <si>
    <t>Small ribosomal subunit protein uS8c OS=Zingiber officinale OX=94328 GN=ZIOFF_012313 PE=3 SV=1</t>
  </si>
  <si>
    <t>A0A8J5HEJ9</t>
  </si>
  <si>
    <t>40S ribosomal protein S15 OS=Zingiber officinale OX=94328 GN=ZIOFF_019690 PE=3 SV=1</t>
  </si>
  <si>
    <t>A0A8J5HEC5</t>
  </si>
  <si>
    <t>Amine oxidase OS=Zingiber officinale OX=94328 GN=ZIOFF_019510 PE=3 SV=1</t>
  </si>
  <si>
    <t>A0A8J5HCW1</t>
  </si>
  <si>
    <t>Ribosomal protein L19 OS=Zingiber officinale OX=94328 GN=ZIOFF_015352 PE=3 SV=1</t>
  </si>
  <si>
    <t>A0A8J5HCD3</t>
  </si>
  <si>
    <t>Large ribosomal subunit protein uL2 C-terminal domain-containing protein OS=Zingiber officinale OX=94328 GN=ZIOFF_024501 PE=3 SV=1</t>
  </si>
  <si>
    <t>A0A8J5HBQ8</t>
  </si>
  <si>
    <t>Plantacyanin OS=Zingiber officinale OX=94328 GN=ZIOFF_024227 PE=4 SV=1</t>
  </si>
  <si>
    <t>A0A8J5HBF1</t>
  </si>
  <si>
    <t>40S ribosomal protein S24 OS=Zingiber officinale OX=94328 GN=ZIOFF_022142 PE=3 SV=1</t>
  </si>
  <si>
    <t>A0A8J5HB06</t>
  </si>
  <si>
    <t>6,7-dimethyl-8-ribityllumazine synthase OS=Zingiber officinale OX=94328 GN=ZIOFF_014012 PE=3 SV=1</t>
  </si>
  <si>
    <t>A0A8J5HAZ7</t>
  </si>
  <si>
    <t>40S ribosomal protein S26 OS=Zingiber officinale OX=94328 GN=ZIOFF_016939 PE=3 SV=1</t>
  </si>
  <si>
    <t>A0A8J5HAP6</t>
  </si>
  <si>
    <t>Polyadenylate-binding protein OS=Zingiber officinale OX=94328 GN=ZIOFF_019693 PE=3 SV=1</t>
  </si>
  <si>
    <t>A0A8J5HAI9</t>
  </si>
  <si>
    <t>Ras-related protein Rab7 OS=Zingiber officinale OX=94328 GN=ZIOFF_025274 PE=3 SV=1</t>
  </si>
  <si>
    <t>A0A8J5HAI2</t>
  </si>
  <si>
    <t>Proteasome subunit alpha type OS=Zingiber officinale OX=94328 GN=ZIOFF_022989 PE=3 SV=1</t>
  </si>
  <si>
    <t>A0A8J5H9B9</t>
  </si>
  <si>
    <t>Glyceraldehyde-3-phosphate dehydrogenase OS=Zingiber officinale OX=94328 GN=ZIOFF_013612 PE=3 SV=1</t>
  </si>
  <si>
    <t>A0A8J5H952</t>
  </si>
  <si>
    <t>UDP-arabinopyranose mutase OS=Zingiber officinale OX=94328 GN=ZIOFF_019156 PE=3 SV=1</t>
  </si>
  <si>
    <t>A0A8J5H8B8</t>
  </si>
  <si>
    <t>Small ribosomal subunit protein uS5 OS=Zingiber officinale OX=94328 GN=ZIOFF_026792 PE=3 SV=1</t>
  </si>
  <si>
    <t>A0A8J5H7E1</t>
  </si>
  <si>
    <t>Translation elongation factor IF5A C-terminal domain-containing protein OS=Zingiber officinale OX=94328 GN=ZIOFF_019432 PE=3 SV=1</t>
  </si>
  <si>
    <t>A0A8J5H7B7</t>
  </si>
  <si>
    <t>Large ribosomal subunit protein uL6 N-terminal domain-containing protein OS=Zingiber officinale OX=94328 GN=ZIOFF_019357 PE=3 SV=1</t>
  </si>
  <si>
    <t>A0A8J5H6F8</t>
  </si>
  <si>
    <t>Proteasome subunit alpha type OS=Zingiber officinale OX=94328 GN=ZIOFF_023422 PE=3 SV=1</t>
  </si>
  <si>
    <t>A0A8J5H685</t>
  </si>
  <si>
    <t>phosphoglycerate mutase (2,3-diphosphoglycerate-independent) OS=Zingiber officinale OX=94328 GN=ZIOFF_023150 PE=3 SV=1</t>
  </si>
  <si>
    <t>A0A8J5H657</t>
  </si>
  <si>
    <t>S-adenosylmethionine synthase OS=Zingiber officinale OX=94328 GN=ZIOFF_020795 PE=3 SV=1</t>
  </si>
  <si>
    <t>A0A8J5H5J9</t>
  </si>
  <si>
    <t>Proteasome subunit alpha type OS=Zingiber officinale OX=94328 GN=ZIOFF_026959 PE=3 SV=1</t>
  </si>
  <si>
    <t>A0A8J5H5C3</t>
  </si>
  <si>
    <t>Large ribosomal subunit protein uL18 C-terminal eukaryotes domain-containing protein OS=Zingiber officinale OX=94328 GN=ZIOFF_020257 PE=3 SV=1</t>
  </si>
  <si>
    <t>A0A8J5H4K6</t>
  </si>
  <si>
    <t>Uncharacterized protein OS=Zingiber officinale OX=94328 GN=ZIOFF_022022 PE=3 SV=1</t>
  </si>
  <si>
    <t>A0A8J5H438</t>
  </si>
  <si>
    <t>Ribosomal protein eL8/eL30/eS12/Gadd45 domain-containing protein OS=Zingiber officinale OX=94328 GN=ZIOFF_023428 PE=3 SV=1</t>
  </si>
  <si>
    <t>A0A8J5H3Z6</t>
  </si>
  <si>
    <t>Uncharacterized protein OS=Zingiber officinale OX=94328 GN=ZIOFF_026414 PE=3 SV=1</t>
  </si>
  <si>
    <t>A0A8J5H3Y4</t>
  </si>
  <si>
    <t>OBG-type G domain-containing protein OS=Zingiber officinale OX=94328 GN=ZIOFF_026367 PE=4 SV=1</t>
  </si>
  <si>
    <t>A0A8J5H3Y3</t>
  </si>
  <si>
    <t>Proteasome subunit alpha type OS=Zingiber officinale OX=94328 GN=ZIOFF_023140 PE=3 SV=1</t>
  </si>
  <si>
    <t>A0A8J5H3V1</t>
  </si>
  <si>
    <t>60S ribosomal protein L12 OS=Zingiber officinale OX=94328 GN=ZIOFF_023077 PE=3 SV=1</t>
  </si>
  <si>
    <t>A0A8J5H2P4</t>
  </si>
  <si>
    <t>RING-type E3 ubiquitin transferase OS=Zingiber officinale OX=94328 GN=ZIOFF_024687 PE=3 SV=1</t>
  </si>
  <si>
    <t>A0A8J5H2M8</t>
  </si>
  <si>
    <t>30S ribosomal protein S4, chloroplastic OS=Zingiber officinale OX=94328 GN=ZIOFF_020633 PE=3 SV=1</t>
  </si>
  <si>
    <t>A0A8J5H2J7</t>
  </si>
  <si>
    <t>40S ribosomal protein S16 OS=Zingiber officinale OX=94328 GN=ZIOFF_033658 PE=3 SV=1</t>
  </si>
  <si>
    <t>A0A8J5H198</t>
  </si>
  <si>
    <t>40S ribosomal protein S18 OS=Zingiber officinale OX=94328 GN=ZIOFF_025215 PE=3 SV=1</t>
  </si>
  <si>
    <t>A0A8J5H111</t>
  </si>
  <si>
    <t>Ribosomal protein L3 OS=Zingiber officinale OX=94328 GN=ZIOFF_023521 PE=3 SV=1</t>
  </si>
  <si>
    <t>A0A8J5H0D1</t>
  </si>
  <si>
    <t>Eukaryotic translation initiation factor 6 OS=Zingiber officinale OX=94328 GN=EIF6 PE=3 SV=1</t>
  </si>
  <si>
    <t>A0A8J5GZY9</t>
  </si>
  <si>
    <t>Uncharacterized protein OS=Zingiber officinale OX=94328 GN=ZIOFF_024173 PE=3 SV=1</t>
  </si>
  <si>
    <t>A0A8J5GZL0</t>
  </si>
  <si>
    <t>FAS1 domain-containing protein OS=Zingiber officinale OX=94328 GN=ZIOFF_028359 PE=3 SV=1</t>
  </si>
  <si>
    <t>A0A8J5GZJ5</t>
  </si>
  <si>
    <t>Luminal-binding protein 5 OS=Zingiber officinale OX=94328 GN=ZIOFF_028313 PE=3 SV=1</t>
  </si>
  <si>
    <t>A0A8J5GXN6</t>
  </si>
  <si>
    <t>Bulb-type lectin domain-containing protein OS=Zingiber officinale OX=94328 GN=ZIOFF_030122 PE=4 SV=1</t>
  </si>
  <si>
    <t>A0A8J5GXJ6</t>
  </si>
  <si>
    <t>Large ribosomal subunit protein uL18 C-terminal eukaryotes domain-containing protein OS=Zingiber officinale OX=94328 GN=ZIOFF_030043 PE=3 SV=1</t>
  </si>
  <si>
    <t>A0A8J5GXF3</t>
  </si>
  <si>
    <t>Chaperonin CPN60-2, mitochondrial OS=Zingiber officinale OX=94328 GN=ZIOFF_029960 PE=3 SV=1</t>
  </si>
  <si>
    <t>A0A8J5GX75</t>
  </si>
  <si>
    <t>UDP-arabinopyranose mutase OS=Zingiber officinale OX=94328 GN=ZIOFF_029189 PE=3 SV=1</t>
  </si>
  <si>
    <t>A0A8J5GW61</t>
  </si>
  <si>
    <t>Bulb-type lectin domain-containing protein OS=Zingiber officinale OX=94328 GN=ZIOFF_026260 PE=4 SV=1</t>
  </si>
  <si>
    <t>A0A8J5GW31</t>
  </si>
  <si>
    <t>Bulb-type lectin domain-containing protein OS=Zingiber officinale OX=94328 GN=ZIOFF_026261 PE=4 SV=1</t>
  </si>
  <si>
    <t>A0A8J5GUV5</t>
  </si>
  <si>
    <t>Cupin type-1 domain-containing protein OS=Zingiber officinale OX=94328 GN=ZIOFF_028376 PE=3 SV=1</t>
  </si>
  <si>
    <t>A0A8J5GUN5</t>
  </si>
  <si>
    <t>RRM domain-containing protein OS=Zingiber officinale OX=94328 GN=ZIOFF_025196 PE=4 SV=1</t>
  </si>
  <si>
    <t>A0A8J5GU48</t>
  </si>
  <si>
    <t>SHSP domain-containing protein OS=Zingiber officinale OX=94328 GN=ZIOFF_029656 PE=3 SV=1</t>
  </si>
  <si>
    <t>A0A8J5GTD9</t>
  </si>
  <si>
    <t>Large ribosomal subunit protein uL15/eL18 domain-containing protein OS=Zingiber officinale OX=94328 GN=ZIOFF_030518 PE=3 SV=1</t>
  </si>
  <si>
    <t>A0A8J5GT83</t>
  </si>
  <si>
    <t>PLD phosphodiesterase domain-containing protein OS=Zingiber officinale OX=94328 GN=ZIOFF_038092 PE=4 SV=1</t>
  </si>
  <si>
    <t>A0A8J5GSU3</t>
  </si>
  <si>
    <t>Uncharacterized protein OS=Zingiber officinale OX=94328 GN=ZIOFF_024680 PE=3 SV=1</t>
  </si>
  <si>
    <t>A0A8J5GSQ7</t>
  </si>
  <si>
    <t>lactoylglutathione lyase OS=Zingiber officinale OX=94328 GN=ZIOFF_023548 PE=3 SV=1</t>
  </si>
  <si>
    <t>A0A8J5GSN7</t>
  </si>
  <si>
    <t>Bulb-type lectin domain-containing protein OS=Zingiber officinale OX=94328 GN=ZIOFF_030123 PE=4 SV=1</t>
  </si>
  <si>
    <t>A0A8J5GSN5</t>
  </si>
  <si>
    <t>40S ribosomal protein S27 OS=Zingiber officinale OX=94328 GN=ZIOFF_023865 PE=3 SV=1</t>
  </si>
  <si>
    <t>A0A8J5GS42</t>
  </si>
  <si>
    <t>30S ribosomal protein S4, chloroplastic OS=Zingiber officinale OX=94328 GN=ZIOFF_030989 PE=3 SV=1</t>
  </si>
  <si>
    <t>A0A8J5GQM4</t>
  </si>
  <si>
    <t>Peroxidase 1 OS=Zingiber officinale OX=94328 GN=ZIOFF_028892 PE=3 SV=1</t>
  </si>
  <si>
    <t>A0A8J5GQH4</t>
  </si>
  <si>
    <t>Adenosylhomocysteinase OS=Zingiber officinale OX=94328 GN=ZIOFF_028808 PE=3 SV=1</t>
  </si>
  <si>
    <t>A0A8J5GP41</t>
  </si>
  <si>
    <t>Large ribosomal subunit protein uL15/eL18 domain-containing protein OS=Zingiber officinale OX=94328 GN=ZIOFF_032263 PE=3 SV=1</t>
  </si>
  <si>
    <t>A0A8J5GP14</t>
  </si>
  <si>
    <t>Large ribosomal subunit protein eL20 domain-containing protein OS=Zingiber officinale OX=94328 GN=ZIOFF_033498 PE=3 SV=1</t>
  </si>
  <si>
    <t>A0A8J5GMW1</t>
  </si>
  <si>
    <t>Fructose-bisphosphate aldolase OS=Zingiber officinale OX=94328 GN=ZIOFF_032531 PE=3 SV=1</t>
  </si>
  <si>
    <t>A0A8J5GMP8</t>
  </si>
  <si>
    <t>60S ribosomal protein L13a OS=Zingiber officinale OX=94328 GN=ZIOFF_035473 PE=3 SV=1</t>
  </si>
  <si>
    <t>A0A8J5GMM7</t>
  </si>
  <si>
    <t>60S ribosomal protein L34 OS=Zingiber officinale OX=94328 GN=ZIOFF_031708 PE=3 SV=1</t>
  </si>
  <si>
    <t>A0A8J5GM18</t>
  </si>
  <si>
    <t>60S ribosomal protein L13a OS=Zingiber officinale OX=94328 GN=ZIOFF_031884 PE=3 SV=1</t>
  </si>
  <si>
    <t>A0A8J5GLH4</t>
  </si>
  <si>
    <t>Ribosomal protein L3 OS=Zingiber officinale OX=94328 GN=ZIOFF_027457 PE=3 SV=1</t>
  </si>
  <si>
    <t>A0A8J5GLE0</t>
  </si>
  <si>
    <t>Guanine nucleotide-binding protein subunit beta-like protein A OS=Zingiber officinale OX=94328 GN=ZIOFF_034846 PE=3 SV=1</t>
  </si>
  <si>
    <t>A0A8J5GL54</t>
  </si>
  <si>
    <t>Superoxide dismutase [Cu-Zn] OS=Zingiber officinale OX=94328 GN=ZIOFF_034061 PE=3 SV=1</t>
  </si>
  <si>
    <t>A0A8J5GL10</t>
  </si>
  <si>
    <t>Ribosomal protein eL8/eL30/eS12/Gadd45 domain-containing protein OS=Zingiber officinale OX=94328 GN=ZIOFF_033965 PE=3 SV=1</t>
  </si>
  <si>
    <t>A0A8J5GKQ2</t>
  </si>
  <si>
    <t>Alpha-mannosidase OS=Zingiber officinale OX=94328 GN=ZIOFF_034286 PE=3 SV=1</t>
  </si>
  <si>
    <t>A0A8J5GKL8</t>
  </si>
  <si>
    <t>Ribosomal protein L19 OS=Zingiber officinale OX=94328 GN=ZIOFF_037855 PE=3 SV=1</t>
  </si>
  <si>
    <t>A0A8J5GKL0</t>
  </si>
  <si>
    <t>Sucrose synthase OS=Zingiber officinale OX=94328 GN=ZIOFF_033650 PE=3 SV=1</t>
  </si>
  <si>
    <t>A0A8J5GK55</t>
  </si>
  <si>
    <t>1,4-alpha-glucan branching enzyme OS=Zingiber officinale OX=94328 GN=ZIOFF_027597 PE=3 SV=1</t>
  </si>
  <si>
    <t>A0A8J5GJR0</t>
  </si>
  <si>
    <t>Glucose-methanol-choline oxidoreductase N-terminal domain-containing protein OS=Zingiber officinale OX=94328 GN=ZIOFF_033072 PE=4 SV=1</t>
  </si>
  <si>
    <t>A0A8J5GJP1</t>
  </si>
  <si>
    <t>Ribosomal protein L35A OS=Zingiber officinale OX=94328 GN=ZIOFF_035086 PE=3 SV=1</t>
  </si>
  <si>
    <t>A0A8J5GJN2</t>
  </si>
  <si>
    <t>TRASH domain-containing protein OS=Zingiber officinale OX=94328 GN=ZIOFF_034607 PE=3 SV=1</t>
  </si>
  <si>
    <t>A0A8J5GJI2</t>
  </si>
  <si>
    <t>NAC-A/B domain-containing protein OS=Zingiber officinale OX=94328 GN=ZIOFF_033160 PE=4 SV=1</t>
  </si>
  <si>
    <t>A0A8J5GHX5</t>
  </si>
  <si>
    <t>60S ribosomal protein L21 OS=Zingiber officinale OX=94328 GN=ZIOFF_041737 PE=3 SV=1</t>
  </si>
  <si>
    <t>A0A8J5GH08</t>
  </si>
  <si>
    <t>Elongation factor 1-alpha OS=Zingiber officinale OX=94328 GN=ZIOFF_031892 PE=3 SV=1</t>
  </si>
  <si>
    <t>A0A8J5GGW1</t>
  </si>
  <si>
    <t>60S ribosomal protein L38 OS=Zingiber officinale OX=94328 GN=ZIOFF_032075 PE=3 SV=1</t>
  </si>
  <si>
    <t>A0A8J5GGD7</t>
  </si>
  <si>
    <t>catalase OS=Zingiber officinale OX=94328 GN=ZIOFF_032490 PE=3 SV=1</t>
  </si>
  <si>
    <t>A0A8J5GFI0</t>
  </si>
  <si>
    <t>60S ribosomal protein L12 OS=Zingiber officinale OX=94328 GN=ZIOFF_037163 PE=3 SV=1</t>
  </si>
  <si>
    <t>A0A8J5GEV4</t>
  </si>
  <si>
    <t>NAC-A/B domain-containing protein OS=Zingiber officinale OX=94328 GN=ZIOFF_036713 PE=4 SV=1</t>
  </si>
  <si>
    <t>A0A8J5GEE1</t>
  </si>
  <si>
    <t>Proteasome subunit beta OS=Zingiber officinale OX=94328 GN=ZIOFF_041991 PE=3 SV=1</t>
  </si>
  <si>
    <t>A0A8J5GDN3</t>
  </si>
  <si>
    <t>phosphopyruvate hydratase OS=Zingiber officinale OX=94328 GN=ZIOFF_036194 PE=3 SV=1</t>
  </si>
  <si>
    <t>A0A8J5GDJ1</t>
  </si>
  <si>
    <t>40S ribosomal protein S27 OS=Zingiber officinale OX=94328 GN=ZIOFF_041292 PE=3 SV=1</t>
  </si>
  <si>
    <t>A0A8J5GDF9</t>
  </si>
  <si>
    <t>DNA/RNA-binding protein Alba-like domain-containing protein OS=Zingiber officinale OX=94328 GN=ZIOFF_041168 PE=4 SV=1</t>
  </si>
  <si>
    <t>A0A8J5GCG7</t>
  </si>
  <si>
    <t>60S ribosomal protein L13a OS=Zingiber officinale OX=94328 GN=ZIOFF_044881 PE=3 SV=1</t>
  </si>
  <si>
    <t>A0A8J5GC50</t>
  </si>
  <si>
    <t>Ribosomal protein L3 OS=Zingiber officinale OX=94328 GN=ZIOFF_040112 PE=3 SV=1</t>
  </si>
  <si>
    <t>A0A8J5GBR1</t>
  </si>
  <si>
    <t>Proteasome subunit alpha type OS=Zingiber officinale OX=94328 GN=ZIOFF_044243 PE=3 SV=1</t>
  </si>
  <si>
    <t>A0A8J5GBE2</t>
  </si>
  <si>
    <t>40S ribosomal protein S23 OS=Zingiber officinale OX=94328 GN=ZIOFF_040175 PE=3 SV=1</t>
  </si>
  <si>
    <t>A0A8J5GB79</t>
  </si>
  <si>
    <t>Transaldolase OS=Zingiber officinale OX=94328 GN=ZIOFF_039414 PE=3 SV=1</t>
  </si>
  <si>
    <t>A0A8J5GAH3</t>
  </si>
  <si>
    <t>Alpha-1,4 glucan phosphorylase OS=Zingiber officinale OX=94328 GN=ZIOFF_035032 PE=3 SV=1</t>
  </si>
  <si>
    <t>A0A8J5GAH1</t>
  </si>
  <si>
    <t>Large ribosomal subunit protein uL6 alpha-beta domain-containing protein OS=Zingiber officinale OX=94328 GN=ZIOFF_043352 PE=3 SV=1</t>
  </si>
  <si>
    <t>A0A8J5GAC2</t>
  </si>
  <si>
    <t>60S acidic ribosomal protein P2 OS=Zingiber officinale OX=94328 GN=ZIOFF_043261 PE=3 SV=1</t>
  </si>
  <si>
    <t>A0A8J5GA92</t>
  </si>
  <si>
    <t>Small ribosomal subunit protein uS17 N-terminal domain-containing protein OS=Zingiber officinale OX=94328 GN=ZIOFF_043180 PE=3 SV=1</t>
  </si>
  <si>
    <t>A0A8J5G8G5</t>
  </si>
  <si>
    <t>40S ribosomal protein S24 OS=Zingiber officinale OX=94328 GN=ZIOFF_041514 PE=3 SV=1</t>
  </si>
  <si>
    <t>A0A8J5G803</t>
  </si>
  <si>
    <t>Uncharacterized protein OS=Zingiber officinale OX=94328 GN=ZIOFF_031296 PE=3 SV=1</t>
  </si>
  <si>
    <t>A0A8J5G7G1</t>
  </si>
  <si>
    <t>peroxidase OS=Zingiber officinale OX=94328 GN=ZIOFF_045694 PE=3 SV=1</t>
  </si>
  <si>
    <t>A0A8J5G7A1</t>
  </si>
  <si>
    <t>RNA helicase OS=Zingiber officinale OX=94328 GN=ZIOFF_041200 PE=3 SV=1</t>
  </si>
  <si>
    <t>A0A8J5G786</t>
  </si>
  <si>
    <t>4-alpha-glucanotransferase OS=Zingiber officinale OX=94328 GN=ZIOFF_045068 PE=3 SV=1</t>
  </si>
  <si>
    <t>A0A8J5G6W2</t>
  </si>
  <si>
    <t>60S acidic ribosomal protein P3 OS=Zingiber officinale OX=94328 GN=ZIOFF_040928 PE=4 SV=1</t>
  </si>
  <si>
    <t>A0A8J5G5M9</t>
  </si>
  <si>
    <t>60S ribosomal protein L13a OS=Zingiber officinale OX=94328 GN=ZIOFF_040772 PE=3 SV=1</t>
  </si>
  <si>
    <t>A0A8J5G4S6</t>
  </si>
  <si>
    <t>Uncharacterized protein OS=Zingiber officinale OX=94328 GN=ZIOFF_039426 PE=4 SV=1</t>
  </si>
  <si>
    <t>A0A8J5G4P2</t>
  </si>
  <si>
    <t>Uncharacterized protein OS=Zingiber officinale OX=94328 GN=ZIOFF_041259 PE=3 SV=1</t>
  </si>
  <si>
    <t>A0A8J5G4L7</t>
  </si>
  <si>
    <t>Calreticulin OS=Zingiber officinale OX=94328 GN=ZIOFF_052820 PE=3 SV=1</t>
  </si>
  <si>
    <t>A0A8J5G4F1</t>
  </si>
  <si>
    <t>Plasma membrane ATPase OS=Zingiber officinale OX=94328 GN=ZIOFF_046082 PE=3 SV=1</t>
  </si>
  <si>
    <t>A0A8J5G4A9</t>
  </si>
  <si>
    <t>14-3-3 domain-containing protein OS=Zingiber officinale OX=94328 GN=ZIOFF_040616 PE=3 SV=1</t>
  </si>
  <si>
    <t>A0A8J5G435</t>
  </si>
  <si>
    <t>aldehyde dehydrogenase (NAD(+)) OS=Zingiber officinale OX=94328 GN=ZIOFF_040948 PE=3 SV=1</t>
  </si>
  <si>
    <t>A0A8J5G3L7</t>
  </si>
  <si>
    <t>F-ATPase gamma subunit OS=Zingiber officinale OX=94328 GN=ZIOFF_052246 PE=3 SV=1</t>
  </si>
  <si>
    <t>A0A8J5G3D1</t>
  </si>
  <si>
    <t>UDP-arabinopyranose mutase OS=Zingiber officinale OX=94328 GN=ZIOFF_052092 PE=3 SV=1</t>
  </si>
  <si>
    <t>A0A8J5G397</t>
  </si>
  <si>
    <t>60S ribosomal export protein NMD3 OS=Zingiber officinale OX=94328 GN=ZIOFF_038752 PE=3 SV=1</t>
  </si>
  <si>
    <t>A0A8J5G2I2</t>
  </si>
  <si>
    <t>Uncharacterized protein OS=Zingiber officinale OX=94328 GN=ZIOFF_044641 PE=3 SV=1</t>
  </si>
  <si>
    <t>A0A8J5G1M8</t>
  </si>
  <si>
    <t>40S ribosomal protein SA OS=Zingiber officinale OX=94328 GN=ZIOFF_044709 PE=3 SV=1</t>
  </si>
  <si>
    <t>A0A8J5G1A6</t>
  </si>
  <si>
    <t>Histone H3 OS=Zingiber officinale OX=94328 GN=ZIOFF_041798 PE=3 SV=1</t>
  </si>
  <si>
    <t>A0A8J5FZT9</t>
  </si>
  <si>
    <t>Large ribosomal subunit protein uL15/eL18 domain-containing protein OS=Zingiber officinale OX=94328 GN=ZIOFF_038673 PE=3 SV=1</t>
  </si>
  <si>
    <t>A0A8J5FY14</t>
  </si>
  <si>
    <t>Actin OS=Zingiber officinale OX=94328 GN=ZIOFF_045132 PE=3 SV=1</t>
  </si>
  <si>
    <t>A0A8J5FXT1</t>
  </si>
  <si>
    <t>Subtilisin-like protease OS=Zingiber officinale OX=94328 GN=ZIOFF_044766 PE=3 SV=1</t>
  </si>
  <si>
    <t>A0A8J5FXH6</t>
  </si>
  <si>
    <t>Uncharacterized protein OS=Zingiber officinale OX=94328 GN=ZIOFF_039424 PE=4 SV=1</t>
  </si>
  <si>
    <t>A0A8J5FXD2</t>
  </si>
  <si>
    <t>40S ribosomal protein S16 OS=Zingiber officinale OX=94328 GN=ZIOFF_039359 PE=3 SV=1</t>
  </si>
  <si>
    <t>A0A8J5FWV4</t>
  </si>
  <si>
    <t>Large ribosomal subunit protein uL6 alpha-beta domain-containing protein OS=Zingiber officinale OX=94328 GN=ZIOFF_049425 PE=3 SV=1</t>
  </si>
  <si>
    <t>A0A8J5FW69</t>
  </si>
  <si>
    <t>40S ribosomal protein S7 OS=Zingiber officinale OX=94328 GN=ZIOFF_046842 PE=3 SV=1</t>
  </si>
  <si>
    <t>A0A8J5FW22</t>
  </si>
  <si>
    <t>Ribosomal protein L19 OS=Zingiber officinale OX=94328 GN=ZIOFF_046464 PE=3 SV=1</t>
  </si>
  <si>
    <t>A0A8J5FVT2</t>
  </si>
  <si>
    <t>malate dehydrogenase OS=Zingiber officinale OX=94328 GN=ZIOFF_043901 PE=3 SV=1</t>
  </si>
  <si>
    <t>A0A8J5FVS0</t>
  </si>
  <si>
    <t>60S ribosomal protein L13a OS=Zingiber officinale OX=94328 GN=ZIOFF_052721 PE=3 SV=1</t>
  </si>
  <si>
    <t>A0A8J5FVC5</t>
  </si>
  <si>
    <t>Uncharacterized protein OS=Zingiber officinale OX=94328 GN=ZIOFF_044510 PE=3 SV=1</t>
  </si>
  <si>
    <t>A0A8J5FU54</t>
  </si>
  <si>
    <t>Small ribosomal subunit protein uS5 OS=Zingiber officinale OX=94328 GN=ZIOFF_051824 PE=3 SV=1</t>
  </si>
  <si>
    <t>A0A8J5FU49</t>
  </si>
  <si>
    <t>Large ribosomal subunit protein uL2 C-terminal domain-containing protein OS=Zingiber officinale OX=94328 GN=ZIOFF_042959 PE=3 SV=1</t>
  </si>
  <si>
    <t>A0A8J5FTJ8</t>
  </si>
  <si>
    <t>Ribosomal protein L10e/L16 domain-containing protein OS=Zingiber officinale OX=94328 GN=ZIOFF_051895 PE=3 SV=1</t>
  </si>
  <si>
    <t>A0A8J5FTG1</t>
  </si>
  <si>
    <t>Vacuolar proton pump subunit B OS=Zingiber officinale OX=94328 GN=ZIOFF_042554 PE=3 SV=1</t>
  </si>
  <si>
    <t>A0A8J5FT70</t>
  </si>
  <si>
    <t>Uncharacterized protein OS=Zingiber officinale OX=94328 GN=ZIOFF_039293 PE=3 SV=1</t>
  </si>
  <si>
    <t>A0A8J5FSE5</t>
  </si>
  <si>
    <t>Glucose-6-phosphate 1-dehydrogenase OS=Zingiber officinale OX=94328 GN=ZIOFF_047040 PE=3 SV=1</t>
  </si>
  <si>
    <t>A0A8J5FQL5</t>
  </si>
  <si>
    <t>Ribulose bisphosphate carboxylase large chain OS=Zingiber officinale OX=94328 GN=ZIOFF_048047 PE=3 SV=1</t>
  </si>
  <si>
    <t>A0A8J5FQI7</t>
  </si>
  <si>
    <t>Ribosomal protein eL8/eL30/eS12/Gadd45 domain-containing protein OS=Zingiber officinale OX=94328 GN=ZIOFF_050866 PE=3 SV=1</t>
  </si>
  <si>
    <t>A0A8J5FPS2</t>
  </si>
  <si>
    <t>2Fe-2S ferredoxin-type domain-containing protein OS=Zingiber officinale OX=94328 GN=ZIOFF_052789 PE=3 SV=1</t>
  </si>
  <si>
    <t>A0A8J5FPQ4</t>
  </si>
  <si>
    <t>60S ribosomal protein L44 OS=Zingiber officinale OX=94328 GN=ZIOFF_048454 PE=3 SV=1</t>
  </si>
  <si>
    <t>A0A8J5FPL3</t>
  </si>
  <si>
    <t>superoxide dismutase OS=Zingiber officinale OX=94328 GN=ZIOFF_052687 PE=3 SV=1</t>
  </si>
  <si>
    <t>A0A8J5FP67</t>
  </si>
  <si>
    <t>Ribulose bisphosphate carboxylase large chain OS=Zingiber officinale OX=94328 GN=ZIOFF_048115 PE=3 SV=1</t>
  </si>
  <si>
    <t>A0A8J5FMP7</t>
  </si>
  <si>
    <t>proteasome endopeptidase complex OS=Zingiber officinale OX=94328 GN=ZIOFF_046463 PE=4 SV=1</t>
  </si>
  <si>
    <t>A0A8J5FMM7</t>
  </si>
  <si>
    <t>Ribosomal protein eL8/eL30/eS12/Gadd45 domain-containing protein OS=Zingiber officinale OX=94328 GN=ZIOFF_052749 PE=3 SV=1</t>
  </si>
  <si>
    <t>A0A8J5FLE4</t>
  </si>
  <si>
    <t>Alba DNA/RNA-binding protein OS=Zingiber officinale OX=94328 GN=ZIOFF_050592 PE=4 SV=1</t>
  </si>
  <si>
    <t>A0A8J5FKU9</t>
  </si>
  <si>
    <t>Small ribosomal subunit protein uS7c OS=Zingiber officinale OX=94328 GN=ZIOFF_055390 PE=3 SV=1</t>
  </si>
  <si>
    <t>A0A8J5FKD9</t>
  </si>
  <si>
    <t>DCD domain-containing protein OS=Zingiber officinale OX=94328 GN=ZIOFF_050454 PE=4 SV=1</t>
  </si>
  <si>
    <t>A0A8J5FJV3</t>
  </si>
  <si>
    <t>Ribosomal protein L37 OS=Zingiber officinale OX=94328 GN=ZIOFF_051035 PE=3 SV=1</t>
  </si>
  <si>
    <t>A0A8J5FJT5</t>
  </si>
  <si>
    <t>40S ribosomal protein S7 OS=Zingiber officinale OX=94328 GN=ZIOFF_050055 PE=3 SV=1</t>
  </si>
  <si>
    <t>A0A8J5FJR1</t>
  </si>
  <si>
    <t>Large ribosomal subunit protein eL14 domain-containing protein OS=Zingiber officinale OX=94328 GN=ZIOFF_054020 PE=3 SV=1</t>
  </si>
  <si>
    <t>A0A8J5FJF7</t>
  </si>
  <si>
    <t>phosphoglycerate kinase OS=Zingiber officinale OX=94328 GN=ZIOFF_055609 PE=3 SV=1</t>
  </si>
  <si>
    <t>A0A8J5FJ89</t>
  </si>
  <si>
    <t>RNA helicase OS=Zingiber officinale OX=94328 GN=ZIOFF_051780 PE=3 SV=1</t>
  </si>
  <si>
    <t>A0A8J5FIK8</t>
  </si>
  <si>
    <t>Malate dehydrogenase OS=Zingiber officinale OX=94328 GN=ZIOFF_056829 PE=3 SV=1</t>
  </si>
  <si>
    <t>A0A8J5FIH5</t>
  </si>
  <si>
    <t>Large ribosomal subunit protein uL4 C-terminal domain-containing protein OS=Zingiber officinale OX=94328 GN=ZIOFF_053302 PE=3 SV=1</t>
  </si>
  <si>
    <t>A0A8J5FI92</t>
  </si>
  <si>
    <t>Heat shock 70 kDa protein 14 OS=Zingiber officinale OX=94328 GN=ZIOFF_054833 PE=3 SV=1</t>
  </si>
  <si>
    <t>A0A8J5FHS9</t>
  </si>
  <si>
    <t>Dihydrolipoyl dehydrogenase OS=Zingiber officinale OX=94328 GN=ZIOFF_056256 PE=3 SV=1</t>
  </si>
  <si>
    <t>A0A8J5FGY6</t>
  </si>
  <si>
    <t>Large ribosomal subunit protein uL6 alpha-beta domain-containing protein OS=Zingiber officinale OX=94328 GN=ZIOFF_060691 PE=3 SV=1</t>
  </si>
  <si>
    <t>A0A8J5FGX4</t>
  </si>
  <si>
    <t>Large ribosomal subunit protein uL15/eL18 domain-containing protein OS=Zingiber officinale OX=94328 GN=ZIOFF_056287 PE=3 SV=1</t>
  </si>
  <si>
    <t>A0A8J5FGM1</t>
  </si>
  <si>
    <t>Ubiquitin-like domain-containing protein OS=Zingiber officinale OX=94328 GN=ZIOFF_054895 PE=3 SV=1</t>
  </si>
  <si>
    <t>A0A8J5FGG2</t>
  </si>
  <si>
    <t>Large ribosomal subunit protein uL10-like insertion domain-containing protein OS=Zingiber officinale OX=94328 GN=ZIOFF_053682 PE=3 SV=1</t>
  </si>
  <si>
    <t>A0A8J5FF76</t>
  </si>
  <si>
    <t>Large ribosomal subunit protein eL20 domain-containing protein OS=Zingiber officinale OX=94328 GN=ZIOFF_059449 PE=3 SV=1</t>
  </si>
  <si>
    <t>A0A8J5FEF5</t>
  </si>
  <si>
    <t>Uncharacterized protein OS=Zingiber officinale OX=94328 GN=ZIOFF_054721 PE=4 SV=1</t>
  </si>
  <si>
    <t>A0A8J5FEC7</t>
  </si>
  <si>
    <t>Large ribosomal subunit protein eL20 domain-containing protein OS=Zingiber officinale OX=94328 GN=ZIOFF_053350 PE=3 SV=1</t>
  </si>
  <si>
    <t>A0A8J5FE14</t>
  </si>
  <si>
    <t>Ribosomal eL28/Mak16 domain-containing protein OS=Zingiber officinale OX=94328 GN=ZIOFF_052971 PE=3 SV=1</t>
  </si>
  <si>
    <t>A0A8J5FDL5</t>
  </si>
  <si>
    <t>Proteasome subunit beta OS=Zingiber officinale OX=94328 GN=ZIOFF_058841 PE=3 SV=1</t>
  </si>
  <si>
    <t>A0A8J5FCW8</t>
  </si>
  <si>
    <t>Proteasome subunit alpha type OS=Zingiber officinale OX=94328 GN=ZIOFF_059264 PE=3 SV=1</t>
  </si>
  <si>
    <t>A0A8J5FC83</t>
  </si>
  <si>
    <t>Large ribosomal subunit protein eL22 OS=Zingiber officinale OX=94328 GN=ZIOFF_055600 PE=3 SV=1</t>
  </si>
  <si>
    <t>A0A8J5FBM2</t>
  </si>
  <si>
    <t>60S ribosomal protein L11 OS=Zingiber officinale OX=94328 GN=ZIOFF_054271 PE=3 SV=1</t>
  </si>
  <si>
    <t>A0A8J5FB53</t>
  </si>
  <si>
    <t>Uncharacterized protein OS=Zingiber officinale OX=94328 GN=ZIOFF_055901 PE=3 SV=1</t>
  </si>
  <si>
    <t>A0A8J5FAQ8</t>
  </si>
  <si>
    <t>Bulb-type lectin domain-containing protein OS=Zingiber officinale OX=94328 GN=ZIOFF_063112 PE=3 SV=1</t>
  </si>
  <si>
    <t>A0A8J5F9Y1</t>
  </si>
  <si>
    <t>GDSL esterase/lipase OS=Zingiber officinale OX=94328 GN=ZIOFF_057937 PE=3 SV=1</t>
  </si>
  <si>
    <t>A0A8J5F9Q4</t>
  </si>
  <si>
    <t>60S ribosomal protein L36 OS=Zingiber officinale OX=94328 GN=ZIOFF_054506 PE=3 SV=1</t>
  </si>
  <si>
    <t>A0A8J5F9F0</t>
  </si>
  <si>
    <t>Uncharacterized protein OS=Zingiber officinale OX=94328 GN=ZIOFF_058894 PE=4 SV=1</t>
  </si>
  <si>
    <t>A0A8J5F941</t>
  </si>
  <si>
    <t>Plectin/eS10 N-terminal domain-containing protein OS=Zingiber officinale OX=94328 GN=ZIOFF_059192 PE=3 SV=1</t>
  </si>
  <si>
    <t>A0A8J5F921</t>
  </si>
  <si>
    <t>Small ribosomal subunit protein eS1 OS=Zingiber officinale OX=94328 GN=ZIOFF_059226 PE=3 SV=1</t>
  </si>
  <si>
    <t>A0A8J5F8P8</t>
  </si>
  <si>
    <t>Ribosomal protein OS=Zingiber officinale OX=94328 GN=ZIOFF_060400 PE=3 SV=1</t>
  </si>
  <si>
    <t>A0A8J5F8F0</t>
  </si>
  <si>
    <t>40S ribosomal protein S17 OS=Zingiber officinale OX=94328 GN=ZIOFF_063921 PE=3 SV=1</t>
  </si>
  <si>
    <t>A0A8J5F812</t>
  </si>
  <si>
    <t>Uncharacterized protein OS=Zingiber officinale OX=94328 GN=ZIOFF_058435 PE=4 SV=1</t>
  </si>
  <si>
    <t>A0A8J5F7F4</t>
  </si>
  <si>
    <t>Peptidyl-prolyl cis-trans isomerase OS=Zingiber officinale OX=94328 GN=ZIOFF_057558 PE=3 SV=1</t>
  </si>
  <si>
    <t>A0A8J5F7B6</t>
  </si>
  <si>
    <t>FAS1 domain-containing protein OS=Zingiber officinale OX=94328 GN=ZIOFF_057749 PE=3 SV=1</t>
  </si>
  <si>
    <t>A0A8J5F729</t>
  </si>
  <si>
    <t>60S ribosomal protein L21 OS=Zingiber officinale OX=94328 GN=ZIOFF_053175 PE=3 SV=1</t>
  </si>
  <si>
    <t>A0A8J5F648</t>
  </si>
  <si>
    <t>KOW domain-containing protein OS=Zingiber officinale OX=94328 GN=ZIOFF_063064 PE=3 SV=1</t>
  </si>
  <si>
    <t>A0A8J5F5D2</t>
  </si>
  <si>
    <t>Large ribosomal subunit protein uL23 N-terminal domain-containing protein OS=Zingiber officinale OX=94328 GN=ZIOFF_062415 PE=3 SV=1</t>
  </si>
  <si>
    <t>A0A8J5F5C6</t>
  </si>
  <si>
    <t>Plectin/eS10 N-terminal domain-containing protein OS=Zingiber officinale OX=94328 GN=ZIOFF_059772 PE=3 SV=1</t>
  </si>
  <si>
    <t>A0A8J5F4K9</t>
  </si>
  <si>
    <t>Uncharacterized protein OS=Zingiber officinale OX=94328 GN=ZIOFF_059194 PE=3 SV=1</t>
  </si>
  <si>
    <t>A0A8J5F485</t>
  </si>
  <si>
    <t>Ribosomal protein L3 OS=Zingiber officinale OX=94328 GN=ZIOFF_061304 PE=3 SV=1</t>
  </si>
  <si>
    <t>A0A8J5F3R2</t>
  </si>
  <si>
    <t>Ribosomal protein eL8/eL30/eS12/Gadd45 domain-containing protein OS=Zingiber officinale OX=94328 GN=ZIOFF_053336 PE=3 SV=1</t>
  </si>
  <si>
    <t>A0A8J5F342</t>
  </si>
  <si>
    <t>Plasma membrane-associated cation-binding protein 1 OS=Zingiber officinale OX=94328 GN=ZIOFF_063971 PE=4 SV=1</t>
  </si>
  <si>
    <t>A0A8J5F2Z5</t>
  </si>
  <si>
    <t>40S ribosomal protein S25 OS=Zingiber officinale OX=94328 GN=ZIOFF_066385 PE=3 SV=1</t>
  </si>
  <si>
    <t>A0A8J5F2V6</t>
  </si>
  <si>
    <t>Nop domain-containing protein OS=Zingiber officinale OX=94328 GN=ZIOFF_066310 PE=3 SV=1</t>
  </si>
  <si>
    <t>A0A8J5F2N8</t>
  </si>
  <si>
    <t>Malate dehydrogenase OS=Zingiber officinale OX=94328 GN=ZIOFF_063833 PE=3 SV=1</t>
  </si>
  <si>
    <t>A0A8J5F2M1</t>
  </si>
  <si>
    <t>40S ribosomal protein S16 OS=Zingiber officinale OX=94328 GN=ZIOFF_063783 PE=3 SV=1</t>
  </si>
  <si>
    <t>A0A8J5F1C3</t>
  </si>
  <si>
    <t>Uncharacterized protein OS=Zingiber officinale OX=94328 GN=ZIOFF_061136 PE=3 SV=1</t>
  </si>
  <si>
    <t>A0A8J5F1A6</t>
  </si>
  <si>
    <t>Bulb-type lectin domain-containing protein OS=Zingiber officinale OX=94328 GN=ZIOFF_063162 PE=4 SV=1</t>
  </si>
  <si>
    <t>A0A8J5F115</t>
  </si>
  <si>
    <t>Histone H2A OS=Zingiber officinale OX=94328 GN=ZIOFF_062594 PE=3 SV=1</t>
  </si>
  <si>
    <t>A0A8J5F0C6</t>
  </si>
  <si>
    <t>Heat shock protein 90 OS=Zingiber officinale OX=94328 GN=ZIOFF_065510 PE=3 SV=1</t>
  </si>
  <si>
    <t>A0A8J5EZV6</t>
  </si>
  <si>
    <t>Uncharacterized protein OS=Zingiber officinale OX=94328 GN=ZIOFF_064937 PE=3 SV=1</t>
  </si>
  <si>
    <t>A0A8J5EZR6</t>
  </si>
  <si>
    <t>Uncharacterized protein OS=Zingiber officinale OX=94328 GN=ZIOFF_062241 PE=3 SV=1</t>
  </si>
  <si>
    <t>A0A8J5EZ36</t>
  </si>
  <si>
    <t>Proteasome subunit alpha type OS=Zingiber officinale OX=94328 GN=ZIOFF_061352 PE=3 SV=1</t>
  </si>
  <si>
    <t>A0A8J5EYQ1</t>
  </si>
  <si>
    <t>Aspartyl aminopeptidase OS=Zingiber officinale OX=94328 GN=ZIOFF_066436 PE=3 SV=1</t>
  </si>
  <si>
    <t>A0A8J5EXW3</t>
  </si>
  <si>
    <t>Bulb-type lectin domain-containing protein OS=Zingiber officinale OX=94328 GN=ZIOFF_066134 PE=4 SV=1</t>
  </si>
  <si>
    <t>A0A8J5EXV6</t>
  </si>
  <si>
    <t>Bulb-type lectin domain-containing protein OS=Zingiber officinale OX=94328 GN=ZIOFF_066124 PE=4 SV=1</t>
  </si>
  <si>
    <t>A0A8J5EXT5</t>
  </si>
  <si>
    <t>Bulb-type lectin domain-containing protein OS=Zingiber officinale OX=94328 GN=ZIOFF_066079 PE=4 SV=1</t>
  </si>
  <si>
    <t>A0A8J5EXD8</t>
  </si>
  <si>
    <t>glyceraldehyde-3-phosphate dehydrogenase (phosphorylating) OS=Zingiber officinale OX=94328 GN=ZIOFF_065436 PE=3 SV=1</t>
  </si>
  <si>
    <t>A0A8J5EXD2</t>
  </si>
  <si>
    <t>Eukaryotic translation initiation factor 3 subunit A OS=Zingiber officinale OX=94328 GN=ZIOFF_065421 PE=3 SV=1</t>
  </si>
  <si>
    <t>A0A8J5EX99</t>
  </si>
  <si>
    <t>KOW domain-containing protein OS=Zingiber officinale OX=94328 GN=ZIOFF_064386 PE=3 SV=1</t>
  </si>
  <si>
    <t>A0A8J5EWT9</t>
  </si>
  <si>
    <t>26S proteasome regulatory subunit RPN7 OS=Zingiber officinale OX=94328 GN=ZIOFF_065079 PE=3 SV=1</t>
  </si>
  <si>
    <t>A0A8J5EWM2</t>
  </si>
  <si>
    <t>Fibrillarin 2 OS=Zingiber officinale OX=94328 GN=ZIOFF_061923 PE=3 SV=1</t>
  </si>
  <si>
    <t>A0A8J5EUR7</t>
  </si>
  <si>
    <t>40S ribosomal protein S8 OS=Zingiber officinale OX=94328 GN=ZIOFF_067665 PE=3 SV=1</t>
  </si>
  <si>
    <t>A0A8J5EU96</t>
  </si>
  <si>
    <t>ATP synthase subunit beta OS=Zingiber officinale OX=94328 GN=ZIOFF_069741 PE=3 SV=1</t>
  </si>
  <si>
    <t>A0A8J5ERY9</t>
  </si>
  <si>
    <t>Sucrose synthase OS=Zingiber officinale OX=94328 GN=ZIOFF_074715 PE=3 SV=1</t>
  </si>
  <si>
    <t>A0A8J5ERW6</t>
  </si>
  <si>
    <t>Ubiquitin-like domain-containing protein OS=Zingiber officinale OX=94328 GN=ZIOFF_069667 PE=3 SV=1</t>
  </si>
  <si>
    <t>A0A8J5EP25</t>
  </si>
  <si>
    <t>Eukaryotic translation initiation factor 3 subunit C OS=Zingiber officinale OX=94328 GN=ZIOFF_073136 PE=3 SV=1</t>
  </si>
  <si>
    <t>A0A8J5ENS4</t>
  </si>
  <si>
    <t>40S ribosomal protein S8 OS=Zingiber officinale OX=94328 GN=ZIOFF_071608 PE=3 SV=1</t>
  </si>
  <si>
    <t>A0A8J5EMU9</t>
  </si>
  <si>
    <t>Elongation factor 1-gamma OS=Zingiber officinale OX=94328 GN=ZIOFF_074011 PE=4 SV=1</t>
  </si>
  <si>
    <t>A0A8J5EC63</t>
  </si>
  <si>
    <t>Malic enzyme OS=Zingiber officinale OX=94328 GN=ZIOFF_068733 PE=3 SV=1</t>
  </si>
  <si>
    <t>A0A8J5E9X5</t>
  </si>
  <si>
    <t>glycerophosphodiester phosphodiesterase OS=Zingiber officinale OX=94328 GN=ZIOFF_073006 PE=3 SV=1</t>
  </si>
  <si>
    <t>A0A8J5E809</t>
  </si>
  <si>
    <t>60S ribosomal protein L13a OS=Zingiber officinale OX=94328 GN=ZIOFF_076122 PE=3 SV=1</t>
  </si>
  <si>
    <t>A0A8J5CVW8</t>
  </si>
  <si>
    <t>S1 motif domain-containing protein OS=Zingiber officinale OX=94328 GN=ZIOFF_069441 PE=3 SV=1</t>
  </si>
  <si>
    <t>A0A8J5CU43</t>
  </si>
  <si>
    <t>23 kDa jasmonate-induced protein-like OS=Zingiber officinale OX=94328 GN=ZIOFF_070541 PE=4 SV=1</t>
  </si>
  <si>
    <t>A0A8J5CEG0</t>
  </si>
  <si>
    <t>Uncharacterized protein OS=Zingiber officinale OX=94328 GN=ZIOFF_067839 PE=4 SV=1</t>
  </si>
  <si>
    <t>A0A8J5CDB4</t>
  </si>
  <si>
    <t>RuBisCO large subunit-binding protein subunit beta, chloroplastic OS=Zingiber officinale OX=94328 GN=ZIOFF_069160 PE=3 SV=1</t>
  </si>
  <si>
    <t>A0A8J5CBW3</t>
  </si>
  <si>
    <t>40S ribosomal protein S26 OS=Zingiber officinale OX=94328 GN=ZIOFF_071706 PE=3 SV=1</t>
  </si>
  <si>
    <t>A0A8J5CBP8</t>
  </si>
  <si>
    <t>Luminal-binding protein 5 OS=Zingiber officinale OX=94328 GN=ZIOFF_069794 PE=3 SV=1</t>
  </si>
  <si>
    <t>A0A8J5C9Y4</t>
  </si>
  <si>
    <t>NADP-dependent oxidoreductase domain-containing protein OS=Zingiber officinale OX=94328 GN=ZIOFF_071646 PE=4 SV=1</t>
  </si>
  <si>
    <t>A0A8J5C9G6</t>
  </si>
  <si>
    <t>ATP synthase subunit beta OS=Zingiber officinale OX=94328 GN=ZIOFF_071402 PE=3 SV=1</t>
  </si>
  <si>
    <t>A0A8J5C8S9</t>
  </si>
  <si>
    <t>Pyruvate dehydrogenase E1 component subunit alpha OS=Zingiber officinale OX=94328 GN=ZIOFF_070602 PE=4 SV=1</t>
  </si>
  <si>
    <t>A0A8J5C8R9</t>
  </si>
  <si>
    <t>Translation elongation factor EF1B beta/delta subunit guanine nucleotide exchange domain-containing protein OS=Zingiber officinale OX=94328 GN=ZIOFF_071786 PE=3 SV=1</t>
  </si>
  <si>
    <t>A0A8J5C7M4</t>
  </si>
  <si>
    <t>Dihydrolipoamide acetyltransferase component of pyruvate dehydrogenase complex OS=Zingiber officinale OX=94328 GN=ZIOFF_068177 PE=3 SV=1</t>
  </si>
  <si>
    <t>A0A8J5C6E8</t>
  </si>
  <si>
    <t>Small ribosomal subunit protein eS1 OS=Zingiber officinale OX=94328 GN=ZIOFF_067292 PE=3 SV=1</t>
  </si>
  <si>
    <t>A0A8J5C649</t>
  </si>
  <si>
    <t>Ferritin OS=Zingiber officinale OX=94328 GN=ZIOFF_067898 PE=3 SV=1</t>
  </si>
  <si>
    <t>A0A8J5C5H4</t>
  </si>
  <si>
    <t>Oryzain alpha chain OS=Zingiber officinale OX=94328 GN=ZIOFF_074872 PE=3 SV=1</t>
  </si>
  <si>
    <t>A0A8J5C3W0</t>
  </si>
  <si>
    <t>Ferritin OS=Zingiber officinale OX=94328 GN=ZIOFF_071531 PE=3 SV=1</t>
  </si>
  <si>
    <t>A0A8J5C2V1</t>
  </si>
  <si>
    <t>60S ribosomal protein L12 OS=Zingiber officinale OX=94328 GN=ZIOFF_074718 PE=3 SV=1</t>
  </si>
  <si>
    <t>A0A8J5C078</t>
  </si>
  <si>
    <t>Ferritin OS=Zingiber officinale OX=94328 GN=ZIOFF_073409 PE=3 SV=1</t>
  </si>
  <si>
    <t>A0A8J5BXM4</t>
  </si>
  <si>
    <t>40S ribosomal protein S19 OS=Zingiber officinale OX=94328 GN=ZIOFF_074098 PE=3 SV=1</t>
  </si>
  <si>
    <t>A0A8J5BXJ6</t>
  </si>
  <si>
    <t>ATP synthase subunit alpha OS=Zingiber officinale OX=94328 GN=ZIOFF_075131 PE=3 SV=1</t>
  </si>
  <si>
    <t>A0A8J5BU40</t>
  </si>
  <si>
    <t>Ubiquitin-like domain-containing protein OS=Zingiber officinale OX=94328 GN=ZIOFF_044969 PE=3 SV=1</t>
  </si>
  <si>
    <t>A0A8J5BTX1</t>
  </si>
  <si>
    <t>Sucrose synthase OS=Zingiber officinale OX=94328 GN=ZIOFF_074893 PE=3 SV=1</t>
  </si>
  <si>
    <t>A0A8J5BSV4</t>
  </si>
  <si>
    <t>40S ribosomal protein S24 OS=Zingiber officinale OX=94328 GN=ZIOFF_076101 PE=3 SV=1</t>
  </si>
  <si>
    <t>A0A8J5BS66</t>
  </si>
  <si>
    <t>Small ribosomal subunit protein uS2 OS=Zingiber officinale OX=94328 GN=ZIOFF_076113 PE=3 SV=1</t>
  </si>
  <si>
    <t>A0A8J5BMB1</t>
  </si>
  <si>
    <t>30S ribosomal protein S4, chloroplastic OS=Zingiber officinale OX=94328 GN=ZIOFF_064041 PE=3 SV=1</t>
  </si>
  <si>
    <t>A0A8J5BED9</t>
  </si>
  <si>
    <t>Ribosomal eL28/Mak16 domain-containing protein OS=Zingiber officinale OX=94328 GN=ZIOFF_071544 PE=3 SV=1</t>
  </si>
  <si>
    <t>Accession</t>
    <phoneticPr fontId="1" type="noConversion"/>
  </si>
  <si>
    <t>A0A8J5MB47</t>
  </si>
  <si>
    <t>Plasma membrane ATPase OS=Zingiber officinale OX=94328 GN=ZIOFF_004268 PE=3 SV=1</t>
  </si>
  <si>
    <t>A0A8J5M3Y0</t>
  </si>
  <si>
    <t>triose-phosphate isomerase OS=Zingiber officinale OX=94328 GN=ZIOFF_004783 PE=3 SV=1</t>
  </si>
  <si>
    <t>A0A8J5LXU4</t>
  </si>
  <si>
    <t>Clathrin heavy chain OS=Zingiber officinale OX=94328 GN=ZIOFF_009304 PE=3 SV=1</t>
  </si>
  <si>
    <t>A0A8J5LU63</t>
  </si>
  <si>
    <t>UDP-arabinopyranose mutase OS=Zingiber officinale OX=94328 GN=ZIOFF_012747 PE=3 SV=1</t>
  </si>
  <si>
    <t>A0A8J5LRD9</t>
  </si>
  <si>
    <t>KOW domain-containing protein OS=Zingiber officinale OX=94328 GN=ZIOFF_010196 PE=3 SV=1</t>
  </si>
  <si>
    <t>A0A8J5LPJ2</t>
  </si>
  <si>
    <t>Histone H2A/H2B/H3 domain-containing protein OS=Zingiber officinale OX=94328 GN=ZIOFF_017460 PE=3 SV=1</t>
  </si>
  <si>
    <t>A0A8J5LLB2</t>
  </si>
  <si>
    <t>Eukaryotic translation initiation factor 3 subunit B OS=Zingiber officinale OX=94328 GN=ZIOFF_020433 PE=3 SV=1</t>
  </si>
  <si>
    <t>A0A8J5LKV3</t>
  </si>
  <si>
    <t>RRM domain-containing protein OS=Zingiber officinale OX=94328 GN=ZIOFF_013408 PE=4 SV=1</t>
  </si>
  <si>
    <t>A0A8J5LK26</t>
  </si>
  <si>
    <t>Serine aminopeptidase S33 domain-containing protein OS=Zingiber officinale OX=94328 GN=ZIOFF_010564 PE=3 SV=1</t>
  </si>
  <si>
    <t>A0A8J5LCV5</t>
  </si>
  <si>
    <t>Carbonic anhydrase OS=Zingiber officinale OX=94328 GN=ZIOFF_024075 PE=3 SV=1</t>
  </si>
  <si>
    <t>A0A8J5LB87</t>
  </si>
  <si>
    <t>Nucleoside diphosphate kinase OS=Zingiber officinale OX=94328 GN=ZIOFF_030236 PE=3 SV=1</t>
  </si>
  <si>
    <t>A0A8J5L8N1</t>
  </si>
  <si>
    <t>Peroxidase OS=Zingiber officinale OX=94328 GN=ZIOFF_027901 PE=3 SV=1</t>
  </si>
  <si>
    <t>A0A8J5L580</t>
  </si>
  <si>
    <t>Large ribosomal subunit protein uL15/eL18 domain-containing protein OS=Zingiber officinale OX=94328 GN=ZIOFF_041045 PE=3 SV=1</t>
  </si>
  <si>
    <t>A0A8J5L366</t>
  </si>
  <si>
    <t>Malate dehydrogenase OS=Zingiber officinale OX=94328 GN=ZIOFF_038771 PE=3 SV=1</t>
  </si>
  <si>
    <t>A0A8J5KYU4</t>
  </si>
  <si>
    <t>Short-chain dehydrogenase TIC 32, chloroplastic OS=Zingiber officinale OX=94328 GN=ZIOFF_036670 PE=4 SV=1</t>
  </si>
  <si>
    <t>A0A8J5KYD0</t>
  </si>
  <si>
    <t>LysM domain-containing protein OS=Zingiber officinale OX=94328 GN=ZIOFF_049243 PE=4 SV=1</t>
  </si>
  <si>
    <t>A0A8J5KXT0</t>
  </si>
  <si>
    <t>Calreticulin OS=Zingiber officinale OX=94328 GN=ZIOFF_044953 PE=3 SV=1</t>
  </si>
  <si>
    <t>A0A8J5KF00</t>
  </si>
  <si>
    <t>60S ribosomal protein L31 OS=Zingiber officinale OX=94328 GN=ZIOFF_054795 PE=3 SV=1</t>
  </si>
  <si>
    <t>A0A8J5KA58</t>
  </si>
  <si>
    <t>Pyrophosphate--fructose 6-phosphate 1-phosphotransferase subunit alpha OS=Zingiber officinale OX=94328 GN=PFP-ALPHA PE=3 SV=1</t>
  </si>
  <si>
    <t>A0A8J5IRS2</t>
  </si>
  <si>
    <t>60S ribosomal protein L21 OS=Zingiber officinale OX=94328 GN=ZIOFF_002854 PE=3 SV=1</t>
  </si>
  <si>
    <t>A0A8J5II99</t>
  </si>
  <si>
    <t>L-ascorbate peroxidase OS=Zingiber officinale OX=94328 GN=ZIOFF_000767 PE=3 SV=1</t>
  </si>
  <si>
    <t>A0A8J5IER1</t>
  </si>
  <si>
    <t>KOW domain-containing protein OS=Zingiber officinale OX=94328 GN=ZIOFF_006657 PE=3 SV=1</t>
  </si>
  <si>
    <t>A0A8J5I8L1</t>
  </si>
  <si>
    <t>YTH domain-containing family protein OS=Zingiber officinale OX=94328 GN=ZIOFF_002986 PE=3 SV=1</t>
  </si>
  <si>
    <t>A0A8J5I688</t>
  </si>
  <si>
    <t>T-complex protein 1 subunit epsilon OS=Zingiber officinale OX=94328 GN=ZIOFF_011509 PE=3 SV=1</t>
  </si>
  <si>
    <t>A0A8J5I4A7</t>
  </si>
  <si>
    <t>glutathione transferase OS=Zingiber officinale OX=94328 GN=ZIOFF_001912 PE=3 SV=1</t>
  </si>
  <si>
    <t>A0A8J5I145</t>
  </si>
  <si>
    <t>Nucleolar protein 56 OS=Zingiber officinale OX=94328 GN=ZIOFF_003756 PE=3 SV=1</t>
  </si>
  <si>
    <t>A0A8J5HYY0</t>
  </si>
  <si>
    <t>Small ribosomal subunit protein uS17 N-terminal domain-containing protein OS=Zingiber officinale OX=94328 GN=ZIOFF_004309 PE=3 SV=1</t>
  </si>
  <si>
    <t>A0A8J5HU15</t>
  </si>
  <si>
    <t>Arf-GAP domain-containing protein OS=Zingiber officinale OX=94328 GN=ZIOFF_000778 PE=3 SV=1</t>
  </si>
  <si>
    <t>A0A8J5HSX6</t>
  </si>
  <si>
    <t>Nucleosome assembly protein 1 OS=Zingiber officinale OX=94328 GN=ZIOFF_008581 PE=3 SV=1</t>
  </si>
  <si>
    <t>A0A8J5HRE9</t>
  </si>
  <si>
    <t>GH16 domain-containing protein OS=Zingiber officinale OX=94328 GN=ZIOFF_012847 PE=4 SV=1</t>
  </si>
  <si>
    <t>A0A8J5HP40</t>
  </si>
  <si>
    <t>Uncharacterized protein OS=Zingiber officinale OX=94328 GN=ZIOFF_010436 PE=3 SV=1</t>
  </si>
  <si>
    <t>A0A8J5HJX8</t>
  </si>
  <si>
    <t>protein-synthesizing GTPase OS=Zingiber officinale OX=94328 GN=ZIOFF_017906 PE=4 SV=1</t>
  </si>
  <si>
    <t>A0A8J5HGS0</t>
  </si>
  <si>
    <t>Calcineurin-like phosphoesterase domain-containing protein OS=Zingiber officinale OX=94328 GN=ZIOFF_016721 PE=3 SV=1</t>
  </si>
  <si>
    <t>A0A8J5HDQ2</t>
  </si>
  <si>
    <t>40S ribosomal protein S15 OS=Zingiber officinale OX=94328 GN=ZIOFF_023108 PE=3 SV=1</t>
  </si>
  <si>
    <t>A0A8J5H162</t>
  </si>
  <si>
    <t>Fibrillarin 2 OS=Zingiber officinale OX=94328 GN=ZIOFF_020916 PE=3 SV=1</t>
  </si>
  <si>
    <t>A0A8J5GZ71</t>
  </si>
  <si>
    <t>Eukaryotic translation initiation factor 3 subunit A OS=Zingiber officinale OX=94328 GN=ZIOFF_023464 PE=3 SV=1</t>
  </si>
  <si>
    <t>A0A8J5GY21</t>
  </si>
  <si>
    <t>40S ribosomal protein S26 OS=Zingiber officinale OX=94328 GN=ZIOFF_026880 PE=3 SV=1</t>
  </si>
  <si>
    <t>A0A8J5GIU4</t>
  </si>
  <si>
    <t>Glucose-methanol-choline oxidoreductase N-terminal domain-containing protein OS=Zingiber officinale OX=94328 GN=ZIOFF_036623 PE=3 SV=1</t>
  </si>
  <si>
    <t>A0A8J5GHG1</t>
  </si>
  <si>
    <t>RRM domain-containing protein OS=Zingiber officinale OX=94328 GN=ZIOFF_031356 PE=4 SV=1</t>
  </si>
  <si>
    <t>A0A8J5G3Z4</t>
  </si>
  <si>
    <t>Histidine kinase/HSP90-like ATPase domain-containing protein OS=Zingiber officinale OX=94328 GN=ZIOFF_040885 PE=3 SV=1</t>
  </si>
  <si>
    <t>A0A8J5FZU8</t>
  </si>
  <si>
    <t>glucan endo-1,3-beta-D-glucosidase OS=Zingiber officinale OX=94328 GN=ZIOFF_038688 PE=3 SV=1</t>
  </si>
  <si>
    <t>A0A8J5FWM1</t>
  </si>
  <si>
    <t>Translation elongation factor EF1B beta/delta subunit guanine nucleotide exchange domain-containing protein OS=Zingiber officinale OX=94328 GN=ZIOFF_046770 PE=3 SV=1</t>
  </si>
  <si>
    <t>A0A8J5FRB4</t>
  </si>
  <si>
    <t>Superoxide dismutase OS=Zingiber officinale OX=94328 GN=ZIOFF_049485 PE=3 SV=1</t>
  </si>
  <si>
    <t>A0A8J5FP29</t>
  </si>
  <si>
    <t>UDP-glucuronic acid decarboxylase 1 OS=Zingiber officinale OX=94328 GN=ZIOFF_049895 PE=3 SV=1</t>
  </si>
  <si>
    <t>A0A8J5FNX9</t>
  </si>
  <si>
    <t>40S ribosomal protein S17 OS=Zingiber officinale OX=94328 GN=ZIOFF_056620 PE=3 SV=1</t>
  </si>
  <si>
    <t>A0A8J5FCL2</t>
  </si>
  <si>
    <t>5-methyltetrahydropteroyltriglutamate--homocysteine S-methyltransferase OS=Zingiber officinale OX=94328 GN=ZIOFF_057497 PE=3 SV=1</t>
  </si>
  <si>
    <t>A0A8J5FB99</t>
  </si>
  <si>
    <t>chitinase OS=Zingiber officinale OX=94328 GN=ZIOFF_058535 PE=3 SV=1</t>
  </si>
  <si>
    <t>A0A8J5F877</t>
  </si>
  <si>
    <t>Uncharacterized protein OS=Zingiber officinale OX=94328 GN=ZIOFF_058588 PE=4 SV=1</t>
  </si>
  <si>
    <t>A0A8J5F7F6</t>
  </si>
  <si>
    <t>glutathione transferase OS=Zingiber officinale OX=94328 GN=ZIOFF_059440 PE=3 SV=1</t>
  </si>
  <si>
    <t>A0A8J5F6J2</t>
  </si>
  <si>
    <t>Aspartyl aminopeptidase OS=Zingiber officinale OX=94328 GN=ZIOFF_063463 PE=3 SV=1</t>
  </si>
  <si>
    <t>A0A8J5F3V9</t>
  </si>
  <si>
    <t>Phosphofructokinase domain-containing protein OS=Zingiber officinale OX=94328 GN=ZIOFF_066753 PE=4 SV=1</t>
  </si>
  <si>
    <t>A0A8J5F2N1</t>
  </si>
  <si>
    <t>Uncharacterized protein OS=Zingiber officinale OX=94328 GN=ZIOFF_063818 PE=3 SV=1</t>
  </si>
  <si>
    <t>A0A8J5F152</t>
  </si>
  <si>
    <t>Eukaryotic translation initiation factor 3 subunit A OS=Zingiber officinale OX=94328 GN=ZIOFF_062466 PE=3 SV=1</t>
  </si>
  <si>
    <t>A0A8J5EY03</t>
  </si>
  <si>
    <t>ERBB-3 BINDING PROTEIN 1 OS=Zingiber officinale OX=94328 GN=ZIOFF_064945 PE=3 SV=1</t>
  </si>
  <si>
    <t>A0A8J5EWZ9</t>
  </si>
  <si>
    <t>Vesicle-fusing ATPase OS=Zingiber officinale OX=94328 GN=ZIOFF_065310 PE=3 SV=1</t>
  </si>
  <si>
    <t>A0A8J5EWF6</t>
  </si>
  <si>
    <t>Tubulin alpha chain OS=Zingiber officinale OX=94328 GN=ZIOFF_064765 PE=3 SV=1</t>
  </si>
  <si>
    <t>A0A8J5EUB1</t>
  </si>
  <si>
    <t>glycerophosphodiester phosphodiesterase OS=Zingiber officinale OX=94328 GN=ZIOFF_071138 PE=3 SV=1</t>
  </si>
  <si>
    <t>Ginger-1</t>
  </si>
  <si>
    <t>Ginger-2</t>
  </si>
  <si>
    <t>Ginger-3</t>
  </si>
  <si>
    <t>-</t>
  </si>
  <si>
    <t>Area</t>
    <phoneticPr fontId="1" type="noConversion"/>
  </si>
  <si>
    <t># PSM</t>
    <phoneticPr fontId="1" type="noConversion"/>
  </si>
  <si>
    <t>Normalized PSM</t>
    <phoneticPr fontId="1" type="noConversion"/>
  </si>
  <si>
    <t>MW [kDa]</t>
    <phoneticPr fontId="1" type="noConversion"/>
  </si>
  <si>
    <t>Kale-1</t>
  </si>
  <si>
    <t>Kale-2</t>
  </si>
  <si>
    <t>Kale-3</t>
  </si>
  <si>
    <t>A0A0D3EHZ6</t>
  </si>
  <si>
    <t>glutamate synthase (ferredoxin) OS=Brassica oleracea var. oleracea OX=109376 PE=3 SV=1</t>
  </si>
  <si>
    <t>A0A0D3EHV5</t>
  </si>
  <si>
    <t>40S ribosomal protein S17 OS=Brassica oleracea var. oleracea OX=109376 PE=3 SV=1</t>
  </si>
  <si>
    <t>A0A0D3EHV1</t>
  </si>
  <si>
    <t>aspartyl aminopeptidase OS=Brassica oleracea var. oleracea OX=109376 PE=3 SV=1</t>
  </si>
  <si>
    <t>A0A0D3EHD9</t>
  </si>
  <si>
    <t>thioredoxin-dependent peroxiredoxin OS=Brassica oleracea var. oleracea OX=109376 PE=3 SV=1</t>
  </si>
  <si>
    <t>A0A0D3EHD4</t>
  </si>
  <si>
    <t>Late embryogenesis abundant protein LEA-2 subgroup domain-containing protein OS=Brassica oleracea var. oleracea OX=109376 PE=4 SV=1</t>
  </si>
  <si>
    <t>A0A0D3EGT2</t>
  </si>
  <si>
    <t>ATP synthase subunit beta OS=Brassica oleracea var. oleracea OX=109376 PE=3 SV=1</t>
  </si>
  <si>
    <t>A0A0D3EGQ6</t>
  </si>
  <si>
    <t>Protein EXORDIUM-like 2 OS=Brassica oleracea var. oleracea OX=109376 PE=3 SV=1</t>
  </si>
  <si>
    <t>A0A0D3EGD3</t>
  </si>
  <si>
    <t>Peptidase A1 domain-containing protein OS=Brassica oleracea var. oleracea OX=109376 PE=3 SV=1</t>
  </si>
  <si>
    <t>A0A0D3EEW1</t>
  </si>
  <si>
    <t>Small ribosomal subunit protein uS14c OS=Brassica oleracea var. oleracea OX=109376 PE=3 SV=1</t>
  </si>
  <si>
    <t>A0A0D3EEL1</t>
  </si>
  <si>
    <t>5-methyltetrahydropteroyltriglutamate--homocysteine S-methyltransferase OS=Brassica oleracea var. oleracea OX=109376 PE=3 SV=1</t>
  </si>
  <si>
    <t>A0A0D3EEJ0</t>
  </si>
  <si>
    <t>Glutamate dehydrogenase OS=Brassica oleracea var. oleracea OX=109376 PE=3 SV=1</t>
  </si>
  <si>
    <t>A0A0D3EE37</t>
  </si>
  <si>
    <t>Glucose-1-phosphate adenylyltransferase OS=Brassica oleracea var. oleracea OX=109376 PE=3 SV=1</t>
  </si>
  <si>
    <t>A0A0D3EDU6</t>
  </si>
  <si>
    <t>40S ribosomal protein S8 OS=Brassica oleracea var. oleracea OX=109376 PE=3 SV=1</t>
  </si>
  <si>
    <t>A0A0D3EDR5</t>
  </si>
  <si>
    <t>Germin-like protein OS=Brassica oleracea var. oleracea OX=109376 PE=3 SV=1</t>
  </si>
  <si>
    <t>A0A0D3EDD7</t>
  </si>
  <si>
    <t>Ribosomal protein OS=Brassica oleracea var. oleracea OX=109376 PE=3 SV=1</t>
  </si>
  <si>
    <t>A0A0D3ECW9</t>
  </si>
  <si>
    <t>Uncharacterized protein OS=Brassica oleracea var. oleracea OX=109376 PE=3 SV=1</t>
  </si>
  <si>
    <t>A0A0D3ECD8</t>
  </si>
  <si>
    <t>40S ribosomal protein S4 OS=Brassica oleracea var. oleracea OX=109376 PE=3 SV=1</t>
  </si>
  <si>
    <t>A0A0D3ECA8</t>
  </si>
  <si>
    <t>glucan endo-1,3-beta-D-glucosidase OS=Brassica oleracea var. oleracea OX=109376 PE=3 SV=1</t>
  </si>
  <si>
    <t>A0A0D3EBU0</t>
  </si>
  <si>
    <t>A0A0D3EBG9</t>
  </si>
  <si>
    <t>FAS1 domain-containing protein OS=Brassica oleracea var. oleracea OX=109376 PE=3 SV=1</t>
  </si>
  <si>
    <t>A0A0D3EBE4</t>
  </si>
  <si>
    <t>Uncharacterized protein OS=Brassica oleracea var. oleracea OX=109376 PE=4 SV=1</t>
  </si>
  <si>
    <t>A0A0D3EBD1</t>
  </si>
  <si>
    <t>glycerophosphodiester phosphodiesterase OS=Brassica oleracea var. oleracea OX=109376 PE=4 SV=1</t>
  </si>
  <si>
    <t>A0A0D3E964</t>
  </si>
  <si>
    <t>A0A0D3E8Y0</t>
  </si>
  <si>
    <t>Large ribosomal subunit protein uL6 alpha-beta domain-containing protein OS=Brassica oleracea var. oleracea OX=109376 PE=3 SV=1</t>
  </si>
  <si>
    <t>A0A0D3E8T5</t>
  </si>
  <si>
    <t>40S ribosomal protein S18 OS=Brassica oleracea var. oleracea OX=109376 PE=3 SV=1</t>
  </si>
  <si>
    <t>A0A0D3E873</t>
  </si>
  <si>
    <t>ATP synthase gamma chain, chloroplastic OS=Brassica oleracea var. oleracea OX=109376 PE=3 SV=1</t>
  </si>
  <si>
    <t>A0A0D3E7C2</t>
  </si>
  <si>
    <t>A0A0D3E636</t>
  </si>
  <si>
    <t>Proteasome subunit alpha type OS=Brassica oleracea var. oleracea OX=109376 PE=3 SV=1</t>
  </si>
  <si>
    <t>A0A0D3E520</t>
  </si>
  <si>
    <t>Chlorophyll a-b binding protein, chloroplastic OS=Brassica oleracea var. oleracea OX=109376 PE=3 SV=1</t>
  </si>
  <si>
    <t>A0A0D3E4K9</t>
  </si>
  <si>
    <t>Serine/threonine-protein kinase BSK OS=Brassica oleracea var. oleracea OX=109376 PE=3 SV=1</t>
  </si>
  <si>
    <t>A0A0D3E3P0</t>
  </si>
  <si>
    <t>60S ribosomal protein L13a OS=Brassica oleracea var. oleracea OX=109376 PE=3 SV=1</t>
  </si>
  <si>
    <t>A0A0D3E317</t>
  </si>
  <si>
    <t>Peptidyl-prolyl cis-trans isomerase OS=Brassica oleracea var. oleracea OX=109376 PE=3 SV=1</t>
  </si>
  <si>
    <t>A0A0D3E2W7</t>
  </si>
  <si>
    <t>thioglucosidase OS=Brassica oleracea var. oleracea OX=109376 PE=3 SV=1</t>
  </si>
  <si>
    <t>A0A0D3E2U4</t>
  </si>
  <si>
    <t>alanine--glyoxylate transaminase OS=Brassica oleracea var. oleracea OX=109376 PE=3 SV=1</t>
  </si>
  <si>
    <t>A0A0D3E2T7</t>
  </si>
  <si>
    <t>A0A0D3E2S9</t>
  </si>
  <si>
    <t>Bifunctional inhibitor/plant lipid transfer protein/seed storage helical domain-containing protein OS=Brassica oleracea var. oleracea OX=109376 PE=3 SV=1</t>
  </si>
  <si>
    <t>A0A0D3E2R1</t>
  </si>
  <si>
    <t>Ferredoxin--NADP reductase, chloroplastic OS=Brassica oleracea var. oleracea OX=109376 PE=3 SV=1</t>
  </si>
  <si>
    <t>A0A0D3E2H1</t>
  </si>
  <si>
    <t>Subtilisin-like protease OS=Brassica oleracea var. oleracea OX=109376 PE=3 SV=1</t>
  </si>
  <si>
    <t>A0A0D3E147</t>
  </si>
  <si>
    <t>Large ribosomal subunit protein uL15/eL18 domain-containing protein OS=Brassica oleracea var. oleracea OX=109376 PE=3 SV=1</t>
  </si>
  <si>
    <t>A0A0D3E0X8</t>
  </si>
  <si>
    <t>ATP citrate synthase OS=Brassica oleracea var. oleracea OX=109376 PE=3 SV=1</t>
  </si>
  <si>
    <t>A0A0D3E051</t>
  </si>
  <si>
    <t>Photosystem I reaction center subunit II, chloroplastic OS=Brassica oleracea var. oleracea OX=109376 PE=3 SV=1</t>
  </si>
  <si>
    <t>A0A0D3DZM3</t>
  </si>
  <si>
    <t>Aquaporin OS=Brassica oleracea var. oleracea OX=109376 PE=3 SV=1</t>
  </si>
  <si>
    <t>A0A0D3DZ20</t>
  </si>
  <si>
    <t>40S ribosomal protein S15 OS=Brassica oleracea var. oleracea OX=109376 PE=3 SV=1</t>
  </si>
  <si>
    <t>A0A0D3DYG2</t>
  </si>
  <si>
    <t>UDP-glucuronate decarboxylase OS=Brassica oleracea var. oleracea OX=109376 PE=3 SV=1</t>
  </si>
  <si>
    <t>A0A0D3DYA3</t>
  </si>
  <si>
    <t>A0A0D3DY01</t>
  </si>
  <si>
    <t>Major facilitator superfamily (MFS) profile domain-containing protein OS=Brassica oleracea var. oleracea OX=109376 PE=3 SV=1</t>
  </si>
  <si>
    <t>A0A0D3DX42</t>
  </si>
  <si>
    <t>H(+)-exporting diphosphatase OS=Brassica oleracea var. oleracea OX=109376 PE=3 SV=1</t>
  </si>
  <si>
    <t>A0A0D3DWN4</t>
  </si>
  <si>
    <t>Large ribosomal subunit protein uL6 N-terminal domain-containing protein OS=Brassica oleracea var. oleracea OX=109376 PE=3 SV=1</t>
  </si>
  <si>
    <t>A0A0D3DW83</t>
  </si>
  <si>
    <t>Fructose-bisphosphate aldolase OS=Brassica oleracea var. oleracea OX=109376 PE=3 SV=1</t>
  </si>
  <si>
    <t>A0A0D3DVS3</t>
  </si>
  <si>
    <t>Senescence-associated protein OS=Brassica oleracea var. oleracea OX=109376 PE=3 SV=1</t>
  </si>
  <si>
    <t>A0A0D3DVN9</t>
  </si>
  <si>
    <t>NADP-dependent glyceraldehyde-3-phosphate dehydrogenase OS=Brassica oleracea var. oleracea OX=109376 PE=3 SV=1</t>
  </si>
  <si>
    <t>A0A0D3DV08</t>
  </si>
  <si>
    <t>A0A0D3DUU2</t>
  </si>
  <si>
    <t>A0A0D3DUS8</t>
  </si>
  <si>
    <t>Remorin C-terminal domain-containing protein OS=Brassica oleracea var. oleracea OX=109376 PE=3 SV=1</t>
  </si>
  <si>
    <t>A0A0D3DUP5</t>
  </si>
  <si>
    <t>transketolase OS=Brassica oleracea var. oleracea OX=109376 PE=3 SV=1</t>
  </si>
  <si>
    <t>A0A0D3DUK1</t>
  </si>
  <si>
    <t>60S ribosomal protein L37a OS=Brassica oleracea var. oleracea OX=109376 PE=3 SV=1</t>
  </si>
  <si>
    <t>A0A0D3DTT5</t>
  </si>
  <si>
    <t>Strictosidine synthase conserved region domain-containing protein OS=Brassica oleracea var. oleracea OX=109376 PE=3 SV=1</t>
  </si>
  <si>
    <t>A0A0D3DTQ3</t>
  </si>
  <si>
    <t>EF-hand domain-containing protein OS=Brassica oleracea var. oleracea OX=109376 PE=3 SV=1</t>
  </si>
  <si>
    <t>A0A0D3DT25</t>
  </si>
  <si>
    <t>Glutathione reductase OS=Brassica oleracea var. oleracea OX=109376 PE=3 SV=1</t>
  </si>
  <si>
    <t>A0A0D3DSX5</t>
  </si>
  <si>
    <t>fructose-bisphosphatase OS=Brassica oleracea var. oleracea OX=109376 PE=3 SV=1</t>
  </si>
  <si>
    <t>A0A0D3DSU9</t>
  </si>
  <si>
    <t>Histone H4 OS=Brassica oleracea var. oleracea OX=109376 PE=3 SV=1</t>
  </si>
  <si>
    <t>A0A0D3DSS2</t>
  </si>
  <si>
    <t>A0A0D3DSM9</t>
  </si>
  <si>
    <t>A0A0D3DSM2</t>
  </si>
  <si>
    <t>monodehydroascorbate reductase (NADH) OS=Brassica oleracea var. oleracea OX=109376 PE=3 SV=1</t>
  </si>
  <si>
    <t>A0A0D3DSG6</t>
  </si>
  <si>
    <t>A0A0D3DRJ8</t>
  </si>
  <si>
    <t>Peroxidase OS=Brassica oleracea var. oleracea OX=109376 PE=3 SV=1</t>
  </si>
  <si>
    <t>A0A0D3DR81</t>
  </si>
  <si>
    <t>60S ribosomal protein L34 OS=Brassica oleracea var. oleracea OX=109376 PE=3 SV=1</t>
  </si>
  <si>
    <t>A0A0D3DR12</t>
  </si>
  <si>
    <t>Aminotransferase class I/classII large domain-containing protein OS=Brassica oleracea var. oleracea OX=109376 PE=3 SV=1</t>
  </si>
  <si>
    <t>A0A0D3DR11</t>
  </si>
  <si>
    <t>A0A0D3DQT9</t>
  </si>
  <si>
    <t>Proteasome subunit beta OS=Brassica oleracea var. oleracea OX=109376 PE=3 SV=1</t>
  </si>
  <si>
    <t>A0A0D3DQ74</t>
  </si>
  <si>
    <t>A0A0D3DPF1</t>
  </si>
  <si>
    <t>A0A0D3DPE1</t>
  </si>
  <si>
    <t>V-type proton ATPase subunit C OS=Brassica oleracea var. oleracea OX=109376 PE=3 SV=1</t>
  </si>
  <si>
    <t>A0A0D3DPA9</t>
  </si>
  <si>
    <t>A0A0D3DP74</t>
  </si>
  <si>
    <t>Lactoylglutathione lyase OS=Brassica oleracea var. oleracea OX=109376 PE=3 SV=1</t>
  </si>
  <si>
    <t>A0A0D3DP73</t>
  </si>
  <si>
    <t>A0A0D3DNR6</t>
  </si>
  <si>
    <t>A0A0D3DNC9</t>
  </si>
  <si>
    <t>A0A0D3DN01</t>
  </si>
  <si>
    <t>60S ribosomal protein L31 OS=Brassica oleracea var. oleracea OX=109376 PE=3 SV=1</t>
  </si>
  <si>
    <t>A0A0D3DM78</t>
  </si>
  <si>
    <t>Oligopeptide transporter 3 OS=Brassica oleracea var. oleracea OX=109376 PE=3 SV=1</t>
  </si>
  <si>
    <t>A0A0D3DLW1</t>
  </si>
  <si>
    <t>A0A0D3DLV7</t>
  </si>
  <si>
    <t>Cysteine synthase OS=Brassica oleracea var. oleracea OX=109376 PE=3 SV=1</t>
  </si>
  <si>
    <t>A0A0D3DLJ2</t>
  </si>
  <si>
    <t>Photosystem I reaction center subunit XI, chloroplastic OS=Brassica oleracea var. oleracea OX=109376 PE=3 SV=1</t>
  </si>
  <si>
    <t>A0A0D3DLG3</t>
  </si>
  <si>
    <t>Cytochrome b561 and DOMON domain-containing protein OS=Brassica oleracea var. oleracea OX=109376 PE=4 SV=1</t>
  </si>
  <si>
    <t>A0A0D3DLA8</t>
  </si>
  <si>
    <t>Photosystem I reaction center subunit III OS=Brassica oleracea var. oleracea OX=109376 PE=3 SV=1</t>
  </si>
  <si>
    <t>A0A0D3DL12</t>
  </si>
  <si>
    <t>Glutamine synthetase OS=Brassica oleracea var. oleracea OX=109376 PE=3 SV=1</t>
  </si>
  <si>
    <t>A0A0D3DKI8</t>
  </si>
  <si>
    <t>50S ribosomal protein L21, chloroplastic OS=Brassica oleracea var. oleracea OX=109376 PE=3 SV=1</t>
  </si>
  <si>
    <t>A0A0D3DKC4</t>
  </si>
  <si>
    <t>Fructose-1,6-bisphosphatase, cytosolic OS=Brassica oleracea var. oleracea OX=109376 PE=3 SV=1</t>
  </si>
  <si>
    <t>A0A0D3DKC2</t>
  </si>
  <si>
    <t>Adenosylhomocysteinase OS=Brassica oleracea var. oleracea OX=109376 PE=3 SV=1</t>
  </si>
  <si>
    <t>A0A0D3DKC0</t>
  </si>
  <si>
    <t>Serine hydroxymethyltransferase OS=Brassica oleracea var. oleracea OX=109376 PE=3 SV=1</t>
  </si>
  <si>
    <t>A0A0D3DK93</t>
  </si>
  <si>
    <t>Photosystem II 22 kDa protein, chloroplastic OS=Brassica oleracea var. oleracea OX=109376 PE=3 SV=1</t>
  </si>
  <si>
    <t>A0A0D3DK64</t>
  </si>
  <si>
    <t>Fungal lipase-type domain-containing protein OS=Brassica oleracea var. oleracea OX=109376 PE=4 SV=1</t>
  </si>
  <si>
    <t>A0A0D3DK37</t>
  </si>
  <si>
    <t>Cysteine protease OS=Brassica oleracea var. oleracea OX=109376 PE=3 SV=1</t>
  </si>
  <si>
    <t>A0A0D3DJP5</t>
  </si>
  <si>
    <t>Ras-related protein Rab7 OS=Brassica oleracea var. oleracea OX=109376 PE=3 SV=1</t>
  </si>
  <si>
    <t>A0A0D3DJ65</t>
  </si>
  <si>
    <t>Oxygen-evolving enhancer protein 2, chloroplastic OS=Brassica oleracea var. oleracea OX=109376 PE=3 SV=1</t>
  </si>
  <si>
    <t>A0A0D3DIT7</t>
  </si>
  <si>
    <t>Malate dehydrogenase OS=Brassica oleracea var. oleracea OX=109376 PE=3 SV=1</t>
  </si>
  <si>
    <t>A0A0D3DIE9</t>
  </si>
  <si>
    <t>A0A0D3DHW4</t>
  </si>
  <si>
    <t>Phospholipase D OS=Brassica oleracea var. oleracea OX=109376 PE=3 SV=1</t>
  </si>
  <si>
    <t>A0A0D3DHS1</t>
  </si>
  <si>
    <t>catalase OS=Brassica oleracea var. oleracea OX=109376 PE=3 SV=1</t>
  </si>
  <si>
    <t>A0A0D3DHM0</t>
  </si>
  <si>
    <t>V-type proton ATPase subunit H OS=Brassica oleracea var. oleracea OX=109376 PE=3 SV=1</t>
  </si>
  <si>
    <t>A0A0D3DGZ0</t>
  </si>
  <si>
    <t>Xyloglucan endotransglucosylase/hydrolase OS=Brassica oleracea var. oleracea OX=109376 PE=3 SV=1</t>
  </si>
  <si>
    <t>A0A0D3DGP5</t>
  </si>
  <si>
    <t>Nucleoside phosphorylase domain-containing protein OS=Brassica oleracea var. oleracea OX=109376 PE=4 SV=1</t>
  </si>
  <si>
    <t>A0A0D3DGE8</t>
  </si>
  <si>
    <t>Phytocyanin domain-containing protein OS=Brassica oleracea var. oleracea OX=109376 PE=3 SV=1</t>
  </si>
  <si>
    <t>A0A0D3DGC8</t>
  </si>
  <si>
    <t>DDRGK domain-containing protein 1 OS=Brassica oleracea var. oleracea OX=109376 PE=3 SV=1</t>
  </si>
  <si>
    <t>A0A0D3DG52</t>
  </si>
  <si>
    <t>Plectin/eS10 N-terminal domain-containing protein OS=Brassica oleracea var. oleracea OX=109376 PE=3 SV=1</t>
  </si>
  <si>
    <t>A0A0D3DG42</t>
  </si>
  <si>
    <t>ascorbate ferrireductase (transmembrane) OS=Brassica oleracea var. oleracea OX=109376 PE=4 SV=1</t>
  </si>
  <si>
    <t>A0A0D3DFM5</t>
  </si>
  <si>
    <t>A0A0D3DF71</t>
  </si>
  <si>
    <t>Tripeptidyl-peptidase 2 OS=Brassica oleracea var. oleracea OX=109376 PE=3 SV=1</t>
  </si>
  <si>
    <t>A0A0D3DF59</t>
  </si>
  <si>
    <t>Plasma membrane-associated cation-binding protein 1 OS=Brassica oleracea var. oleracea OX=109376 PE=4 SV=1</t>
  </si>
  <si>
    <t>A0A0D3DEX5</t>
  </si>
  <si>
    <t>Ribosomal protein L5 C-terminal domain-containing protein OS=Brassica oleracea var. oleracea OX=109376 PE=3 SV=1</t>
  </si>
  <si>
    <t>A0A0D3DDY5</t>
  </si>
  <si>
    <t>A0A0D3DDR1</t>
  </si>
  <si>
    <t>KOW domain-containing protein OS=Brassica oleracea var. oleracea OX=109376 PE=3 SV=1</t>
  </si>
  <si>
    <t>A0A0D3DDK7</t>
  </si>
  <si>
    <t>ribulose-phosphate 3-epimerase OS=Brassica oleracea var. oleracea OX=109376 PE=3 SV=1</t>
  </si>
  <si>
    <t>A0A0D3DD94</t>
  </si>
  <si>
    <t>40S ribosomal protein S11 N-terminal domain-containing protein OS=Brassica oleracea var. oleracea OX=109376 PE=3 SV=1</t>
  </si>
  <si>
    <t>A0A0D3DBD3</t>
  </si>
  <si>
    <t>A0A0D3DAW5</t>
  </si>
  <si>
    <t>Dihydrolipoamide acetyltransferase component of pyruvate dehydrogenase complex OS=Brassica oleracea var. oleracea OX=109376 PE=3 SV=1</t>
  </si>
  <si>
    <t>A0A0D3DAG3</t>
  </si>
  <si>
    <t>Ribulose bisphosphate carboxylase large chain OS=Brassica oleracea var. oleracea OX=109376 PE=3 SV=1</t>
  </si>
  <si>
    <t>A0A0D3D9S6</t>
  </si>
  <si>
    <t>A0A0D3D9N2</t>
  </si>
  <si>
    <t>60S ribosomal protein L3 OS=Brassica oleracea var. oleracea OX=109376 PE=3 SV=1</t>
  </si>
  <si>
    <t>A0A0D3D8Y7</t>
  </si>
  <si>
    <t>Epithiospecifier protein OS=Brassica oleracea var. oleracea OX=109376 PE=4 SV=1</t>
  </si>
  <si>
    <t>A0A0D3D8X0</t>
  </si>
  <si>
    <t>Tubulin beta chain OS=Brassica oleracea var. oleracea OX=109376 PE=3 SV=1</t>
  </si>
  <si>
    <t>A0A0D3D7X1</t>
  </si>
  <si>
    <t>A0A0D3D7U9</t>
  </si>
  <si>
    <t>Vacuolar proton pump subunit B OS=Brassica oleracea var. oleracea OX=109376 PE=3 SV=1</t>
  </si>
  <si>
    <t>A0A0D3D7T0</t>
  </si>
  <si>
    <t>Catalase OS=Brassica oleracea var. oleracea OX=109376 PE=3 SV=1</t>
  </si>
  <si>
    <t>A0A0D3D7E8</t>
  </si>
  <si>
    <t>MBD domain-containing protein OS=Brassica oleracea var. oleracea OX=109376 PE=3 SV=1</t>
  </si>
  <si>
    <t>A0A0D3D5L8</t>
  </si>
  <si>
    <t>A0A0D3D5B9</t>
  </si>
  <si>
    <t>A0A0D3D530</t>
  </si>
  <si>
    <t>H(+)-transporting two-sector ATPase OS=Brassica oleracea var. oleracea OX=109376 PE=3 SV=1</t>
  </si>
  <si>
    <t>A0A0D3D4R1</t>
  </si>
  <si>
    <t>Large ribosomal subunit protein uL18 C-terminal eukaryotes domain-containing protein OS=Brassica oleracea var. oleracea OX=109376 PE=3 SV=1</t>
  </si>
  <si>
    <t>A0A0D3D4Q4</t>
  </si>
  <si>
    <t>A0A0D3D4D5</t>
  </si>
  <si>
    <t>A0A0D3D4C8</t>
  </si>
  <si>
    <t>Enoyl-[acyl-carrier-protein] reductase [NADH], chloroplastic OS=Brassica oleracea var. oleracea OX=109376 PE=3 SV=1</t>
  </si>
  <si>
    <t>A0A0D3D3J6</t>
  </si>
  <si>
    <t>LysM domain-containing protein OS=Brassica oleracea var. oleracea OX=109376 PE=4 SV=1</t>
  </si>
  <si>
    <t>A0A0D3D368</t>
  </si>
  <si>
    <t>Large ribosomal subunit protein uL2 C-terminal domain-containing protein OS=Brassica oleracea var. oleracea OX=109376 PE=3 SV=1</t>
  </si>
  <si>
    <t>A0A0D3D2T1</t>
  </si>
  <si>
    <t>Plasma membrane ATPase OS=Brassica oleracea var. oleracea OX=109376 PE=3 SV=1</t>
  </si>
  <si>
    <t>A0A0D3D1P5</t>
  </si>
  <si>
    <t>V-type proton ATPase catalytic subunit A OS=Brassica oleracea var. oleracea OX=109376 PE=3 SV=1</t>
  </si>
  <si>
    <t>A0A0D3D1P0</t>
  </si>
  <si>
    <t>Bulb-type lectin domain-containing protein OS=Brassica oleracea var. oleracea OX=109376 PE=4 SV=1</t>
  </si>
  <si>
    <t>A0A0D3D1M2</t>
  </si>
  <si>
    <t>DNA polymerase delta subunit 3 OS=Brassica oleracea var. oleracea OX=109376 PE=3 SV=1</t>
  </si>
  <si>
    <t>A0A0D3D125</t>
  </si>
  <si>
    <t>Dehydrin OS=Brassica oleracea var. oleracea OX=109376 PE=3 SV=1</t>
  </si>
  <si>
    <t>A0A0D3D123</t>
  </si>
  <si>
    <t>A0A0D3D0Y9</t>
  </si>
  <si>
    <t>A0A0D3D0B8</t>
  </si>
  <si>
    <t>A0A0D3D0B2</t>
  </si>
  <si>
    <t>A0A0D3D040</t>
  </si>
  <si>
    <t>Small ribosomal subunit protein uS2 OS=Brassica oleracea var. oleracea OX=109376 PE=3 SV=1</t>
  </si>
  <si>
    <t>A0A0D3D022</t>
  </si>
  <si>
    <t>CRAL-TRIO domain-containing protein OS=Brassica oleracea var. oleracea OX=109376 PE=3 SV=1</t>
  </si>
  <si>
    <t>A0A0D3CZE6</t>
  </si>
  <si>
    <t>Band 7 domain-containing protein OS=Brassica oleracea var. oleracea OX=109376 PE=4 SV=1</t>
  </si>
  <si>
    <t>A0A0D3CZ86</t>
  </si>
  <si>
    <t>Leucine-rich repeat-containing N-terminal plant-type domain-containing protein OS=Brassica oleracea var. oleracea OX=109376 PE=3 SV=1</t>
  </si>
  <si>
    <t>A0A0D3CYU7</t>
  </si>
  <si>
    <t>glycerate dehydrogenase OS=Brassica oleracea var. oleracea OX=109376 PE=3 SV=1</t>
  </si>
  <si>
    <t>A0A0D3CYL6</t>
  </si>
  <si>
    <t>lactoylglutathione lyase OS=Brassica oleracea var. oleracea OX=109376 PE=3 SV=1</t>
  </si>
  <si>
    <t>A0A0D3CYA3</t>
  </si>
  <si>
    <t>Isocitrate dehydrogenase [NADP] OS=Brassica oleracea var. oleracea OX=109376 PE=3 SV=1</t>
  </si>
  <si>
    <t>A0A0D3CY53</t>
  </si>
  <si>
    <t>A0A0D3CY38</t>
  </si>
  <si>
    <t>50S ribosomal protein L22, chloroplastic OS=Brassica oleracea var. oleracea OX=109376 PE=3 SV=1</t>
  </si>
  <si>
    <t>A0A0D3CXL6</t>
  </si>
  <si>
    <t>A0A0D3CXF9</t>
  </si>
  <si>
    <t>A0A0D3CWE6</t>
  </si>
  <si>
    <t>Malic enzyme OS=Brassica oleracea var. oleracea OX=109376 PE=3 SV=1</t>
  </si>
  <si>
    <t>A0A0D3CW24</t>
  </si>
  <si>
    <t>Ribosomal protein eL8/eL30/eS12/Gadd45 domain-containing protein OS=Brassica oleracea var. oleracea OX=109376 PE=3 SV=1</t>
  </si>
  <si>
    <t>A0A0D3CW05</t>
  </si>
  <si>
    <t>14-3-3 domain-containing protein OS=Brassica oleracea var. oleracea OX=109376 PE=3 SV=1</t>
  </si>
  <si>
    <t>A0A0D3CVZ7</t>
  </si>
  <si>
    <t>Glutathione S-transferase OS=Brassica oleracea var. oleracea OX=109376 PE=3 SV=1</t>
  </si>
  <si>
    <t>A0A0D3CVH6</t>
  </si>
  <si>
    <t>ABC transporter domain-containing protein OS=Brassica oleracea var. oleracea OX=109376 PE=3 SV=1</t>
  </si>
  <si>
    <t>A0A0D3CVH2</t>
  </si>
  <si>
    <t>Lipoxygenase OS=Brassica oleracea var. oleracea OX=109376 PE=3 SV=1</t>
  </si>
  <si>
    <t>A0A0D3CVE9</t>
  </si>
  <si>
    <t>snRNP core protein D2 OS=Brassica oleracea var. oleracea OX=109376 PE=3 SV=1</t>
  </si>
  <si>
    <t>A0A0D3CV53</t>
  </si>
  <si>
    <t>A0A0D3CV17</t>
  </si>
  <si>
    <t>A0A0D3CUB0</t>
  </si>
  <si>
    <t>A0A0D3CU21</t>
  </si>
  <si>
    <t>Ferritin OS=Brassica oleracea var. oleracea OX=109376 PE=3 SV=1</t>
  </si>
  <si>
    <t>A0A0D3CTW2</t>
  </si>
  <si>
    <t>A0A0D3CTS1</t>
  </si>
  <si>
    <t>Large ribosomal subunit protein bL17c OS=Brassica oleracea var. oleracea OX=109376 PE=3 SV=1</t>
  </si>
  <si>
    <t>A0A0D3CSW6</t>
  </si>
  <si>
    <t>Ribulose bisphosphate carboxylase small subunit, chloroplastic OS=Brassica oleracea var. oleracea OX=109376 GN=RBCS PE=3 SV=1</t>
  </si>
  <si>
    <t>A0A0D3CSF1</t>
  </si>
  <si>
    <t>RuBisCO large subunit-binding protein subunit beta, chloroplastic OS=Brassica oleracea var. oleracea OX=109376 PE=3 SV=1</t>
  </si>
  <si>
    <t>A0A0D3CS70</t>
  </si>
  <si>
    <t>A0A0D3CRX6</t>
  </si>
  <si>
    <t>A0A0D3CRS4</t>
  </si>
  <si>
    <t>A0A0D3CRB4</t>
  </si>
  <si>
    <t>A0A0D3CQW8</t>
  </si>
  <si>
    <t>Acetyltransferase component of pyruvate dehydrogenase complex OS=Brassica oleracea var. oleracea OX=109376 PE=3 SV=1</t>
  </si>
  <si>
    <t>A0A0D3CQU9</t>
  </si>
  <si>
    <t>A0A0D3CQU2</t>
  </si>
  <si>
    <t>Myrosinase-associated protein OS=Brassica oleracea var. oleracea OX=109376 PE=3 SV=1</t>
  </si>
  <si>
    <t>A0A0D3CQS8</t>
  </si>
  <si>
    <t>A0A0D3CQL2</t>
  </si>
  <si>
    <t>Legume lectin domain-containing protein OS=Brassica oleracea var. oleracea OX=109376 PE=3 SV=1</t>
  </si>
  <si>
    <t>A0A0D3CQ47</t>
  </si>
  <si>
    <t>Jacalin-type lectin domain-containing protein OS=Brassica oleracea var. oleracea OX=109376 PE=3 SV=1</t>
  </si>
  <si>
    <t>A0A0D3CPM5</t>
  </si>
  <si>
    <t>Tubulin alpha chain OS=Brassica oleracea var. oleracea OX=109376 PE=3 SV=1</t>
  </si>
  <si>
    <t>A0A0D3CNU8</t>
  </si>
  <si>
    <t>A0A0D3CND6</t>
  </si>
  <si>
    <t>peptidylprolyl isomerase OS=Brassica oleracea var. oleracea OX=109376 PE=4 SV=1</t>
  </si>
  <si>
    <t>A0A0D3CND4</t>
  </si>
  <si>
    <t>Carbonic anhydrase OS=Brassica oleracea var. oleracea OX=109376 PE=3 SV=1</t>
  </si>
  <si>
    <t>A0A0D3CN32</t>
  </si>
  <si>
    <t>UTP--glucose-1-phosphate uridylyltransferase OS=Brassica oleracea var. oleracea OX=109376 PE=3 SV=1</t>
  </si>
  <si>
    <t>A0A0D3CMJ2</t>
  </si>
  <si>
    <t>A0A0D3CM23</t>
  </si>
  <si>
    <t>DOMON domain-containing protein OS=Brassica oleracea var. oleracea OX=109376 PE=4 SV=1</t>
  </si>
  <si>
    <t>A0A0D3CLN9</t>
  </si>
  <si>
    <t>60S ribosomal protein L35 OS=Brassica oleracea var. oleracea OX=109376 PE=3 SV=1</t>
  </si>
  <si>
    <t>A0A0D3CLN1</t>
  </si>
  <si>
    <t>Large ribosomal subunit protein uL4 C-terminal domain-containing protein OS=Brassica oleracea var. oleracea OX=109376 PE=3 SV=1</t>
  </si>
  <si>
    <t>A0A0D3CLM6</t>
  </si>
  <si>
    <t>t-SNARE coiled-coil homology domain-containing protein OS=Brassica oleracea var. oleracea OX=109376 PE=3 SV=1</t>
  </si>
  <si>
    <t>A0A0D3CL97</t>
  </si>
  <si>
    <t>Clathrin heavy chain OS=Brassica oleracea var. oleracea OX=109376 PE=3 SV=1</t>
  </si>
  <si>
    <t>A0A0D3CL56</t>
  </si>
  <si>
    <t>40S ribosomal protein S14 OS=Brassica oleracea var. oleracea OX=109376 PE=3 SV=1</t>
  </si>
  <si>
    <t>A0A0D3CL44</t>
  </si>
  <si>
    <t>A0A0D3CKK0</t>
  </si>
  <si>
    <t>A0A0D3CKF1</t>
  </si>
  <si>
    <t>A0A0D3CKA4</t>
  </si>
  <si>
    <t>Pectinesterase OS=Brassica oleracea var. oleracea OX=109376 PE=3 SV=1</t>
  </si>
  <si>
    <t>A0A0D3CK35</t>
  </si>
  <si>
    <t>non-specific serine/threonine protein kinase OS=Brassica oleracea var. oleracea OX=109376 PE=4 SV=1</t>
  </si>
  <si>
    <t>A0A0D3CK18</t>
  </si>
  <si>
    <t>phosphoenolpyruvate carboxylase OS=Brassica oleracea var. oleracea OX=109376 PE=3 SV=1</t>
  </si>
  <si>
    <t>A0A0D3CK13</t>
  </si>
  <si>
    <t>DJ-1/PfpI domain-containing protein OS=Brassica oleracea var. oleracea OX=109376 PE=3 SV=1</t>
  </si>
  <si>
    <t>A0A0D3CJS6</t>
  </si>
  <si>
    <t>A0A0D3CJ64</t>
  </si>
  <si>
    <t>A0A0D3CIQ7</t>
  </si>
  <si>
    <t>Actin OS=Brassica oleracea var. oleracea OX=109376 PE=3 SV=1</t>
  </si>
  <si>
    <t>A0A0D3CHH8</t>
  </si>
  <si>
    <t>A0A0D3CGU8</t>
  </si>
  <si>
    <t>Phosphoribulokinase OS=Brassica oleracea var. oleracea OX=109376 PE=3 SV=1</t>
  </si>
  <si>
    <t>A0A0D3CGB8</t>
  </si>
  <si>
    <t>Annexin OS=Brassica oleracea var. oleracea OX=109376 PE=3 SV=1</t>
  </si>
  <si>
    <t>A0A0D3CFB6</t>
  </si>
  <si>
    <t>Photosystem II CP43 reaction center protein OS=Brassica oleracea var. oleracea OX=109376 PE=3 SV=1</t>
  </si>
  <si>
    <t>A0A0D3CEZ4</t>
  </si>
  <si>
    <t>A0A0D3CE49</t>
  </si>
  <si>
    <t>A0A0D3CDK7</t>
  </si>
  <si>
    <t>A0A0D3CCQ4</t>
  </si>
  <si>
    <t>Ubiquitin-like domain-containing protein OS=Brassica oleracea var. oleracea OX=109376 PE=3 SV=1</t>
  </si>
  <si>
    <t>A0A0D3CCN9</t>
  </si>
  <si>
    <t>A0A0D3CCG0</t>
  </si>
  <si>
    <t>A0A0D3CBS0</t>
  </si>
  <si>
    <t>A0A0D3CB93</t>
  </si>
  <si>
    <t>A0A0D3CB45</t>
  </si>
  <si>
    <t>A0A0D3C9T6</t>
  </si>
  <si>
    <t>Glyceraldehyde-3-phosphate dehydrogenase OS=Brassica oleracea var. oleracea OX=109376 PE=3 SV=1</t>
  </si>
  <si>
    <t>A0A0D3C9I2</t>
  </si>
  <si>
    <t>A0A0D3C8T4</t>
  </si>
  <si>
    <t>60S ribosomal protein L21 OS=Brassica oleracea var. oleracea OX=109376 PE=3 SV=1</t>
  </si>
  <si>
    <t>A0A0D3C8Q5</t>
  </si>
  <si>
    <t>NAD-dependent epimerase/dehydratase domain-containing protein OS=Brassica oleracea var. oleracea OX=109376 PE=4 SV=1</t>
  </si>
  <si>
    <t>A0A0D3C8E5</t>
  </si>
  <si>
    <t>Elongation factor 1-alpha OS=Brassica oleracea var. oleracea OX=109376 PE=3 SV=1</t>
  </si>
  <si>
    <t>A0A0D3C8E0</t>
  </si>
  <si>
    <t>L-ascorbate peroxidase OS=Brassica oleracea var. oleracea OX=109376 PE=3 SV=1</t>
  </si>
  <si>
    <t>A0A0D3C896</t>
  </si>
  <si>
    <t>Large ribosomal subunit protein uL4c OS=Brassica oleracea var. oleracea OX=109376 PE=3 SV=1</t>
  </si>
  <si>
    <t>A0A0D3C7I8</t>
  </si>
  <si>
    <t>A0A0D3C7E8</t>
  </si>
  <si>
    <t>A0A0D3C6T1</t>
  </si>
  <si>
    <t>A0A0D3C6H1</t>
  </si>
  <si>
    <t>A0A0D3C666</t>
  </si>
  <si>
    <t>Water stress and hypersensitive response domain-containing protein OS=Brassica oleracea var. oleracea OX=109376 PE=3 SV=1</t>
  </si>
  <si>
    <t>A0A0D3C5V4</t>
  </si>
  <si>
    <t>A0A0D3C5V0</t>
  </si>
  <si>
    <t>A0A0D3C5G6</t>
  </si>
  <si>
    <t>Expansin OS=Brassica oleracea var. oleracea OX=109376 PE=3 SV=1</t>
  </si>
  <si>
    <t>A0A0D3C580</t>
  </si>
  <si>
    <t>Ribulose bisphosphate carboxylase/oxygenase activase, chloroplastic OS=Brassica oleracea var. oleracea OX=109376 PE=3 SV=1</t>
  </si>
  <si>
    <t>A0A0D3C4Y0</t>
  </si>
  <si>
    <t>PdxS/SNZ N-terminal domain-containing protein OS=Brassica oleracea var. oleracea OX=109376 PE=3 SV=1</t>
  </si>
  <si>
    <t>A0A0D3C4U5</t>
  </si>
  <si>
    <t>NAD(P)-binding domain-containing protein OS=Brassica oleracea var. oleracea OX=109376 PE=3 SV=1</t>
  </si>
  <si>
    <t>A0A0D3C4Q4</t>
  </si>
  <si>
    <t>60S ribosomal protein L12 OS=Brassica oleracea var. oleracea OX=109376 PE=3 SV=1</t>
  </si>
  <si>
    <t>A0A0D3C446</t>
  </si>
  <si>
    <t>60S ribosomal protein L18a OS=Brassica oleracea var. oleracea OX=109376 PE=3 SV=1</t>
  </si>
  <si>
    <t>A0A0D3C3W8</t>
  </si>
  <si>
    <t>Caleosin OS=Brassica oleracea var. oleracea OX=109376 PE=3 SV=1</t>
  </si>
  <si>
    <t>A0A0D3C3D3</t>
  </si>
  <si>
    <t>A0A0D3C398</t>
  </si>
  <si>
    <t>nitrilase OS=Brassica oleracea var. oleracea OX=109376 PE=3 SV=1</t>
  </si>
  <si>
    <t>A0A0D3C387</t>
  </si>
  <si>
    <t>glutathione transferase OS=Brassica oleracea var. oleracea OX=109376 PE=3 SV=1</t>
  </si>
  <si>
    <t>A0A0D3C2G7</t>
  </si>
  <si>
    <t>RuBisCO large subunit-binding protein subunit alpha, chloroplastic OS=Brassica oleracea var. oleracea OX=109376 PE=3 SV=1</t>
  </si>
  <si>
    <t>A0A0D3C2E3</t>
  </si>
  <si>
    <t>A0A0D3C289</t>
  </si>
  <si>
    <t>A0A0D3C283</t>
  </si>
  <si>
    <t>Protein kinase domain-containing protein OS=Brassica oleracea var. oleracea OX=109376 PE=4 SV=1</t>
  </si>
  <si>
    <t>A0A0D3C1Q3</t>
  </si>
  <si>
    <t>A0A0D3C1P0</t>
  </si>
  <si>
    <t>Cytosol aminopeptidase domain-containing protein OS=Brassica oleracea var. oleracea OX=109376 PE=3 SV=1</t>
  </si>
  <si>
    <t>A0A0D3C0Z6</t>
  </si>
  <si>
    <t>A0A0D3C0Y4</t>
  </si>
  <si>
    <t>Triosephosphate isomerase, chloroplastic OS=Brassica oleracea var. oleracea OX=109376 PE=3 SV=1</t>
  </si>
  <si>
    <t>A0A0D3BZL7</t>
  </si>
  <si>
    <t>A0A0D3BZB9</t>
  </si>
  <si>
    <t>phosphoglycolate phosphatase OS=Brassica oleracea var. oleracea OX=109376 PE=3 SV=1</t>
  </si>
  <si>
    <t>A0A0D3BZ71</t>
  </si>
  <si>
    <t>A0A0D3BY67</t>
  </si>
  <si>
    <t>A0A0D3BY39</t>
  </si>
  <si>
    <t>A0A0D3BXR0</t>
  </si>
  <si>
    <t>Triosephosphate isomerase, cytosolic OS=Brassica oleracea var. oleracea OX=109376 PE=3 SV=1</t>
  </si>
  <si>
    <t>A0A0D3BXQ9</t>
  </si>
  <si>
    <t>A0A0D3BXN3</t>
  </si>
  <si>
    <t>Sedoheptulose-1,7-bisphosphatase, chloroplastic OS=Brassica oleracea var. oleracea OX=109376 PE=3 SV=1</t>
  </si>
  <si>
    <t>A0A0D3BXB6</t>
  </si>
  <si>
    <t>A0A0D3BW18</t>
  </si>
  <si>
    <t>Large ribosomal subunit protein uL1c OS=Brassica oleracea var. oleracea OX=109376 PE=3 SV=1</t>
  </si>
  <si>
    <t>A0A0D3BUT4</t>
  </si>
  <si>
    <t>A0A0D3BT17</t>
  </si>
  <si>
    <t>KH type-2 domain-containing protein OS=Brassica oleracea var. oleracea OX=109376 PE=3 SV=1</t>
  </si>
  <si>
    <t>A0A0D3BS62</t>
  </si>
  <si>
    <t>A0A0D3BS15</t>
  </si>
  <si>
    <t>A0A0D3BS08</t>
  </si>
  <si>
    <t>FAD-binding PCMH-type domain-containing protein OS=Brassica oleracea var. oleracea OX=109376 PE=3 SV=1</t>
  </si>
  <si>
    <t>A0A0D3BRH5</t>
  </si>
  <si>
    <t>Large ribosomal subunit protein eL24-related N-terminal domain-containing protein OS=Brassica oleracea var. oleracea OX=109376 PE=3 SV=1</t>
  </si>
  <si>
    <t>A0A0D3BRG9</t>
  </si>
  <si>
    <t>phosphopyruvate hydratase OS=Brassica oleracea var. oleracea OX=109376 PE=3 SV=1</t>
  </si>
  <si>
    <t>A0A0D3BRA6</t>
  </si>
  <si>
    <t>A0A0D3BRA5</t>
  </si>
  <si>
    <t>A0A0D3BQU6</t>
  </si>
  <si>
    <t>Non-specific lipid-transfer protein OS=Brassica oleracea var. oleracea OX=109376 PE=3 SV=1</t>
  </si>
  <si>
    <t>A0A0D3BQK7</t>
  </si>
  <si>
    <t>Large ribosomal subunit protein uL23 N-terminal domain-containing protein OS=Brassica oleracea var. oleracea OX=109376 PE=3 SV=1</t>
  </si>
  <si>
    <t>A0A0D3BQ83</t>
  </si>
  <si>
    <t>A0A0D3BQ71</t>
  </si>
  <si>
    <t>A0A0D3BQ40</t>
  </si>
  <si>
    <t>A0A0D3BQ24</t>
  </si>
  <si>
    <t>Small ribosomal subunit protein uS15 N-terminal domain-containing protein OS=Brassica oleracea var. oleracea OX=109376 PE=3 SV=1</t>
  </si>
  <si>
    <t>A0A0D3BPP8</t>
  </si>
  <si>
    <t>60S ribosomal protein L7 OS=Brassica oleracea var. oleracea OX=109376 PE=3 SV=1</t>
  </si>
  <si>
    <t>A0A0D3BP67</t>
  </si>
  <si>
    <t>S5 DRBM domain-containing protein OS=Brassica oleracea var. oleracea OX=109376 PE=3 SV=1</t>
  </si>
  <si>
    <t>A0A0D3BNB1</t>
  </si>
  <si>
    <t>Photosystem I reaction center subunit V, chloroplastic OS=Brassica oleracea var. oleracea OX=109376 PE=3 SV=1</t>
  </si>
  <si>
    <t>A0A0D3BNB0</t>
  </si>
  <si>
    <t>Nucleoside diphosphate kinase OS=Brassica oleracea var. oleracea OX=109376 PE=3 SV=1</t>
  </si>
  <si>
    <t>A0A0D3BN92</t>
  </si>
  <si>
    <t>A0A0D3BN55</t>
  </si>
  <si>
    <t>A0A0D3BMZ4</t>
  </si>
  <si>
    <t>A0A0D3BMU9</t>
  </si>
  <si>
    <t>A0A0D3BMD0</t>
  </si>
  <si>
    <t>Acid phosphatase OS=Brassica oleracea var. oleracea OX=109376 PE=3 SV=1</t>
  </si>
  <si>
    <t>A0A0D3BM82</t>
  </si>
  <si>
    <t>A0A0D3BLL1</t>
  </si>
  <si>
    <t>Aminotransferase class I/classII domain-containing protein OS=Brassica oleracea var. oleracea OX=109376 PE=3 SV=1</t>
  </si>
  <si>
    <t>A0A0D3BLC5</t>
  </si>
  <si>
    <t>Small ribosomal subunit protein eS1 OS=Brassica oleracea var. oleracea OX=109376 PE=3 SV=1</t>
  </si>
  <si>
    <t>A0A0D3BL76</t>
  </si>
  <si>
    <t>A0A0D3BL75</t>
  </si>
  <si>
    <t>A0A0D3BL44</t>
  </si>
  <si>
    <t>A0A0D3BK57</t>
  </si>
  <si>
    <t>Photosystem II CP47 reaction center protein OS=Brassica oleracea var. oleracea OX=109376 PE=3 SV=1</t>
  </si>
  <si>
    <t>A0A0D3BJM8</t>
  </si>
  <si>
    <t>Haloacid dehalogenase-like hydrolase domain-containing protein At4g39970 OS=Brassica oleracea var. oleracea OX=109376 PE=3 SV=1</t>
  </si>
  <si>
    <t>A0A0D3BJB3</t>
  </si>
  <si>
    <t>A0A0D3BJ42</t>
  </si>
  <si>
    <t>CSC1-like protein ERD4 OS=Brassica oleracea var. oleracea OX=109376 PE=3 SV=1</t>
  </si>
  <si>
    <t>A0A0D3BIZ0</t>
  </si>
  <si>
    <t>A0A0D3BIW2</t>
  </si>
  <si>
    <t>A0A0D3BII7</t>
  </si>
  <si>
    <t>A0A0D3BHT5</t>
  </si>
  <si>
    <t>A0A0D3BG61</t>
  </si>
  <si>
    <t>A0A0D3BFH1</t>
  </si>
  <si>
    <t>A0A0D3BET0</t>
  </si>
  <si>
    <t>A0A0D3BE79</t>
  </si>
  <si>
    <t>A0A0D3BE55</t>
  </si>
  <si>
    <t>Photosystem II D2 protein OS=Brassica oleracea var. oleracea OX=109376 PE=3 SV=1</t>
  </si>
  <si>
    <t>A0A0D3BDK9</t>
  </si>
  <si>
    <t>A0A0D3BDJ7</t>
  </si>
  <si>
    <t>A0A0D3BDD6</t>
  </si>
  <si>
    <t>A0A0D3BDA5</t>
  </si>
  <si>
    <t>A0A0D3BD95</t>
  </si>
  <si>
    <t>peptidylprolyl isomerase OS=Brassica oleracea var. oleracea OX=109376 PE=3 SV=1</t>
  </si>
  <si>
    <t>A0A0D3BD05</t>
  </si>
  <si>
    <t>A0A0D3BCQ2</t>
  </si>
  <si>
    <t>60S ribosomal protein L27 OS=Brassica oleracea var. oleracea OX=109376 PE=3 SV=1</t>
  </si>
  <si>
    <t>A0A0D3BBS5</t>
  </si>
  <si>
    <t>S-adenosylmethionine synthase OS=Brassica oleracea var. oleracea OX=109376 PE=3 SV=1</t>
  </si>
  <si>
    <t>A0A0D3BBA2</t>
  </si>
  <si>
    <t>(S)-2-hydroxy-acid oxidase OS=Brassica oleracea var. oleracea OX=109376 PE=3 SV=1</t>
  </si>
  <si>
    <t>A0A0D3BAV7</t>
  </si>
  <si>
    <t>Small ribosomal subunit protein uS7 domain-containing protein OS=Brassica oleracea var. oleracea OX=109376 PE=3 SV=1</t>
  </si>
  <si>
    <t>A0A0D3BAS5</t>
  </si>
  <si>
    <t>A0A0D3BAN9</t>
  </si>
  <si>
    <t>A0A0D3BAF4</t>
  </si>
  <si>
    <t>Large ribosomal subunit protein uL10-like insertion domain-containing protein OS=Brassica oleracea var. oleracea OX=109376 PE=3 SV=1</t>
  </si>
  <si>
    <t>A0A0D3BAC7</t>
  </si>
  <si>
    <t>S12 OS=Brassica oleracea var. oleracea OX=109376 PE=3 SV=1</t>
  </si>
  <si>
    <t>A0A0D3BAA5</t>
  </si>
  <si>
    <t>A0A0D3B9K2</t>
  </si>
  <si>
    <t>A0A0D3B9C1</t>
  </si>
  <si>
    <t>F-box domain-containing protein OS=Brassica oleracea var. oleracea OX=109376 PE=3 SV=1</t>
  </si>
  <si>
    <t>A0A0D3B9A4</t>
  </si>
  <si>
    <t>A0A0D3B8D6</t>
  </si>
  <si>
    <t>Plant heme peroxidase family profile domain-containing protein OS=Brassica oleracea var. oleracea OX=109376 PE=3 SV=1</t>
  </si>
  <si>
    <t>A0A0D3B898</t>
  </si>
  <si>
    <t>Monocopper oxidase-like protein SKU5 OS=Brassica oleracea var. oleracea OX=109376 PE=3 SV=1</t>
  </si>
  <si>
    <t>A0A0D3B844</t>
  </si>
  <si>
    <t>A0A0D3B7R1</t>
  </si>
  <si>
    <t>Aspartyl aminopeptidase OS=Brassica oleracea var. oleracea OX=109376 PE=3 SV=1</t>
  </si>
  <si>
    <t>A0A0D3B7M9</t>
  </si>
  <si>
    <t>A0A0D3B7B3</t>
  </si>
  <si>
    <t>A0A0D3B6Y1</t>
  </si>
  <si>
    <t>A0A0D3B6N1</t>
  </si>
  <si>
    <t>6,7-dimethyl-8-ribityllumazine synthase OS=Brassica oleracea var. oleracea OX=109376 PE=3 SV=1</t>
  </si>
  <si>
    <t>A0A0D3B6F7</t>
  </si>
  <si>
    <t>Large ribosomal subunit protein uL3c OS=Brassica oleracea var. oleracea OX=109376 PE=3 SV=1</t>
  </si>
  <si>
    <t>A0A0D3B672</t>
  </si>
  <si>
    <t>A0A0D3B5W7</t>
  </si>
  <si>
    <t>A0A0D3B5T3</t>
  </si>
  <si>
    <t>A0A0D3B4P8</t>
  </si>
  <si>
    <t>A0A0D3B4N6</t>
  </si>
  <si>
    <t>A0A0D3B4A5</t>
  </si>
  <si>
    <t>A0A0D3B360</t>
  </si>
  <si>
    <t>A0A0D3B2W3</t>
  </si>
  <si>
    <t>Lipocalin/cytosolic fatty-acid binding domain-containing protein OS=Brassica oleracea var. oleracea OX=109376 PE=3 SV=1</t>
  </si>
  <si>
    <t>A0A0D3B2U3</t>
  </si>
  <si>
    <t>A0A0D3B2A9</t>
  </si>
  <si>
    <t>A0A0D3B232</t>
  </si>
  <si>
    <t>A0A0D3B1S7</t>
  </si>
  <si>
    <t>40S ribosomal protein S16 OS=Brassica oleracea var. oleracea OX=109376 PE=3 SV=1</t>
  </si>
  <si>
    <t>A0A0D3B1C1</t>
  </si>
  <si>
    <t>UDP-arabinopyranose mutase OS=Brassica oleracea var. oleracea OX=109376 PE=3 SV=1</t>
  </si>
  <si>
    <t>A0A0D3B0N4</t>
  </si>
  <si>
    <t>A0A0D3AZB0</t>
  </si>
  <si>
    <t>pyridoxal 5'-phosphate synthase (glutamine hydrolyzing) OS=Brassica oleracea var. oleracea OX=109376 PE=3 SV=1</t>
  </si>
  <si>
    <t>A0A0D3AZA1</t>
  </si>
  <si>
    <t>A0A0D3AYS3</t>
  </si>
  <si>
    <t>A0A0D3AYE9</t>
  </si>
  <si>
    <t>A0A0D3AY50</t>
  </si>
  <si>
    <t>X8 domain-containing protein OS=Brassica oleracea var. oleracea OX=109376 PE=4 SV=1</t>
  </si>
  <si>
    <t>A0A0D3AXH2</t>
  </si>
  <si>
    <t>Tr-type G domain-containing protein OS=Brassica oleracea var. oleracea OX=109376 PE=4 SV=1</t>
  </si>
  <si>
    <t>A0A0D3AXF1</t>
  </si>
  <si>
    <t>A0A0D3AX62</t>
  </si>
  <si>
    <t>40S ribosomal protein S24 OS=Brassica oleracea var. oleracea OX=109376 PE=3 SV=1</t>
  </si>
  <si>
    <t>A0A0D3AX58</t>
  </si>
  <si>
    <t>A0A0D3AWA9</t>
  </si>
  <si>
    <t>50S ribosomal protein L12, chloroplastic OS=Brassica oleracea var. oleracea OX=109376 PE=3 SV=1</t>
  </si>
  <si>
    <t>A0A0D3AW76</t>
  </si>
  <si>
    <t>proteasome endopeptidase complex OS=Brassica oleracea var. oleracea OX=109376 PE=4 SV=1</t>
  </si>
  <si>
    <t>A0A0D3AV97</t>
  </si>
  <si>
    <t>A0A0D3AUA0</t>
  </si>
  <si>
    <t>Pectin acetylesterase OS=Brassica oleracea var. oleracea OX=109376 PE=3 SV=1</t>
  </si>
  <si>
    <t>A0A0D3ATN6</t>
  </si>
  <si>
    <t>A0A0D3ASS6</t>
  </si>
  <si>
    <t>A0A0D3ARN4</t>
  </si>
  <si>
    <t>A0A0D3ARK5</t>
  </si>
  <si>
    <t>A0A0D3ARF8</t>
  </si>
  <si>
    <t>A0A0D3AQU1</t>
  </si>
  <si>
    <t>Endoglucanase OS=Brassica oleracea var. oleracea OX=109376 PE=3 SV=1</t>
  </si>
  <si>
    <t>A0A0D3AQH2</t>
  </si>
  <si>
    <t>60S ribosomal protein L35a OS=Brassica oleracea var. oleracea OX=109376 PE=3 SV=1</t>
  </si>
  <si>
    <t>A0A0D3AQF2</t>
  </si>
  <si>
    <t>A0A0D3AQ01</t>
  </si>
  <si>
    <t>A0A0D3APR5</t>
  </si>
  <si>
    <t>Bet v I/Major latex protein domain-containing protein OS=Brassica oleracea var. oleracea OX=109376 PE=4 SV=1</t>
  </si>
  <si>
    <t>A0A0D3APM3</t>
  </si>
  <si>
    <t>ADP-ribosylation factor OS=Brassica oleracea var. oleracea OX=109376 PE=3 SV=1</t>
  </si>
  <si>
    <t>A0A0D3ANS1</t>
  </si>
  <si>
    <t>A0A0D3ANI5</t>
  </si>
  <si>
    <t>A0A0D3ANI1</t>
  </si>
  <si>
    <t>A0A0D3ANC0</t>
  </si>
  <si>
    <t>A0A0D3ANB9</t>
  </si>
  <si>
    <t>A0A0D3AN62</t>
  </si>
  <si>
    <t>PspA/IM30 family protein OS=Brassica oleracea var. oleracea OX=109376 PE=3 SV=1</t>
  </si>
  <si>
    <t>A0A0D3AM61</t>
  </si>
  <si>
    <t>NAD(P)H dehydrogenase (quinone) OS=Brassica oleracea var. oleracea OX=109376 PE=3 SV=1</t>
  </si>
  <si>
    <t>A0A0D3AL01</t>
  </si>
  <si>
    <t>A0A0D3AK68</t>
  </si>
  <si>
    <t>A0A0D3AK04</t>
  </si>
  <si>
    <t>A0A0D3AJM6</t>
  </si>
  <si>
    <t>A0A0D3AJG2</t>
  </si>
  <si>
    <t>A0A0D3AJD2</t>
  </si>
  <si>
    <t>A0A0D3AJ86</t>
  </si>
  <si>
    <t>A0A0D3AJ33</t>
  </si>
  <si>
    <t>A0A0D3AIM5</t>
  </si>
  <si>
    <t>A0A0D3AIF5</t>
  </si>
  <si>
    <t>A0A0D3AIB3</t>
  </si>
  <si>
    <t>A0A0D3AI72</t>
  </si>
  <si>
    <t>Alpha-galactosidase OS=Brassica oleracea var. oleracea OX=109376 PE=3 SV=1</t>
  </si>
  <si>
    <t>A0A0D3AFY5</t>
  </si>
  <si>
    <t>A0A0D3AFK9</t>
  </si>
  <si>
    <t>A0A0D3AF20</t>
  </si>
  <si>
    <t>Phosphoinositide phospholipase C OS=Brassica oleracea var. oleracea OX=109376 PE=4 SV=1</t>
  </si>
  <si>
    <t>A0A0D3AEV7</t>
  </si>
  <si>
    <t>A0A0D3ADS4</t>
  </si>
  <si>
    <t>A0A0D3ADP1</t>
  </si>
  <si>
    <t>A0A0D3ADA8</t>
  </si>
  <si>
    <t>A0A0D3ACD4</t>
  </si>
  <si>
    <t>Peptidase M16C associated domain-containing protein OS=Brassica oleracea var. oleracea OX=109376 PE=3 SV=1</t>
  </si>
  <si>
    <t>A0A0D3AB15</t>
  </si>
  <si>
    <t>A0A0D3AAQ4</t>
  </si>
  <si>
    <t>A0A0D3A9Z7</t>
  </si>
  <si>
    <t>A0A0D3A9W3</t>
  </si>
  <si>
    <t>A0A0D3A9D2</t>
  </si>
  <si>
    <t>A0A0D3A9C9</t>
  </si>
  <si>
    <t>60S ribosomal protein L13 OS=Brassica oleracea var. oleracea OX=109376 PE=3 SV=1</t>
  </si>
  <si>
    <t>A0A0D3A8N2</t>
  </si>
  <si>
    <t>Tetraspanin-3 OS=Brassica oleracea var. oleracea OX=109376 PE=3 SV=1</t>
  </si>
  <si>
    <t>A0A0D3A843</t>
  </si>
  <si>
    <t>A0A0D3A828</t>
  </si>
  <si>
    <t>A0A0D3A7Q7</t>
  </si>
  <si>
    <t>Dihydrolipoyl dehydrogenase OS=Brassica oleracea var. oleracea OX=109376 PE=3 SV=1</t>
  </si>
  <si>
    <t>A0A0D3A7I4</t>
  </si>
  <si>
    <t>Ribosomal protein L15 OS=Brassica oleracea var. oleracea OX=109376 PE=3 SV=1</t>
  </si>
  <si>
    <t>A0A0D3A6Z4</t>
  </si>
  <si>
    <t>A0A0D3A6Q5</t>
  </si>
  <si>
    <t>glycerophosphodiester phosphodiesterase OS=Brassica oleracea var. oleracea OX=109376 PE=3 SV=1</t>
  </si>
  <si>
    <t>A0A0D3A6M9</t>
  </si>
  <si>
    <t>A0A0D3A662</t>
  </si>
  <si>
    <t>Superoxide dismutase OS=Brassica oleracea var. oleracea OX=109376 PE=3 SV=1</t>
  </si>
  <si>
    <t>A0A0D3A622</t>
  </si>
  <si>
    <t>RRM domain-containing protein OS=Brassica oleracea var. oleracea OX=109376 PE=4 SV=1</t>
  </si>
  <si>
    <t>A0A0D3A5M6</t>
  </si>
  <si>
    <t>A0A0D3A5J6</t>
  </si>
  <si>
    <t>Large ribosomal subunit protein uL2cz/uL2cy OS=Brassica oleracea var. oleracea OX=109376 PE=3 SV=1</t>
  </si>
  <si>
    <t>A0A0D3A5F5</t>
  </si>
  <si>
    <t>Cysteine-rich receptor-like protein kinase 10 OS=Brassica oleracea var. oleracea OX=109376 PE=4 SV=1</t>
  </si>
  <si>
    <t>A0A0D3A4N3</t>
  </si>
  <si>
    <t>A0A0D3A4N1</t>
  </si>
  <si>
    <t>A0A0D3A4K8</t>
  </si>
  <si>
    <t>A0A0D3A469</t>
  </si>
  <si>
    <t>A0A0D3A400</t>
  </si>
  <si>
    <t>60S ribosomal protein L32 OS=Brassica oleracea var. oleracea OX=109376 PE=3 SV=1</t>
  </si>
  <si>
    <t>A0A0D3A3E1</t>
  </si>
  <si>
    <t>A0A0D3A371</t>
  </si>
  <si>
    <t>Cation-transporting P-type ATPase N-terminal domain-containing protein OS=Brassica oleracea var. oleracea OX=109376 PE=3 SV=1</t>
  </si>
  <si>
    <t>A0A0D3A311</t>
  </si>
  <si>
    <t>Carboxypeptidase OS=Brassica oleracea var. oleracea OX=109376 PE=3 SV=1</t>
  </si>
  <si>
    <t>A0A0D3A305</t>
  </si>
  <si>
    <t>A0A0D3A2Y1</t>
  </si>
  <si>
    <t>A0A0D3A2X0</t>
  </si>
  <si>
    <t>A0A0D3A2T1</t>
  </si>
  <si>
    <t>40S ribosomal protein S6 OS=Brassica oleracea var. oleracea OX=109376 PE=3 SV=1</t>
  </si>
  <si>
    <t>A0A0D3A2C6</t>
  </si>
  <si>
    <t>Glycine cleavage system P protein OS=Brassica oleracea var. oleracea OX=109376 PE=3 SV=1</t>
  </si>
  <si>
    <t>A0A0D3A267</t>
  </si>
  <si>
    <t>A0A0D3A1U7</t>
  </si>
  <si>
    <t>A0A0D3A1T8</t>
  </si>
  <si>
    <t>A0A0D3A177</t>
  </si>
  <si>
    <t>Formamidase OS=Brassica oleracea var. oleracea OX=109376 PE=4 SV=1</t>
  </si>
  <si>
    <t>A0A0D3A0U9</t>
  </si>
  <si>
    <t>A0A0D3A0H9</t>
  </si>
  <si>
    <t>Ectonucleotide pyrophosphatase/phosphodiesterase family member 3 OS=Brassica oleracea var. oleracea OX=109376 PE=4 SV=1</t>
  </si>
  <si>
    <t>A0A0D2ZZX4</t>
  </si>
  <si>
    <t>A0A0D2ZV84</t>
  </si>
  <si>
    <t>A0A0D2ZUL8</t>
  </si>
  <si>
    <t>A0A0D2ZSM3</t>
  </si>
  <si>
    <t>A0A0D2ZSK7</t>
  </si>
  <si>
    <t>A0A0D2ZRT1</t>
  </si>
  <si>
    <t>A0A0D2ZQS5</t>
  </si>
  <si>
    <t>Water-soluble chlorophyll protein OS=Brassica oleracea var. oleracea OX=109376 PE=4 SV=1</t>
  </si>
  <si>
    <t>A0A0D2ZQG6</t>
  </si>
  <si>
    <t>A0A0D2ZQE9</t>
  </si>
  <si>
    <t>ATP synthase subunit alpha, mitochondrial OS=Brassica oleracea var. oleracea OX=109376 GN=11271709 PE=3 SV=1</t>
  </si>
  <si>
    <t>A0A0D2ZPQ3</t>
  </si>
  <si>
    <t>A0A0D2ZPE9</t>
  </si>
  <si>
    <t>A0A0D3EGP4</t>
  </si>
  <si>
    <t>A0A0D3E7X8</t>
  </si>
  <si>
    <t>A0A0D3E680</t>
  </si>
  <si>
    <t>A0A0D3E3F2</t>
  </si>
  <si>
    <t>A0A0D3DZP9</t>
  </si>
  <si>
    <t>Large ribosomal subunit protein uL5c OS=Brassica oleracea var. oleracea OX=109376 PE=3 SV=1</t>
  </si>
  <si>
    <t>A0A0D3DZ86</t>
  </si>
  <si>
    <t>Ribosomal protein L19 OS=Brassica oleracea var. oleracea OX=109376 PE=3 SV=1</t>
  </si>
  <si>
    <t>A0A0D3DXV6</t>
  </si>
  <si>
    <t>Aspartic proteinase OS=Brassica oleracea var. oleracea OX=109376 PE=3 SV=1</t>
  </si>
  <si>
    <t>A0A0D3DXJ2</t>
  </si>
  <si>
    <t>A0A0D3DX36</t>
  </si>
  <si>
    <t>A0A0D3DUQ7</t>
  </si>
  <si>
    <t>A0A0D3DTJ6</t>
  </si>
  <si>
    <t>A0A0D3DSZ1</t>
  </si>
  <si>
    <t>A0A0D3DSN8</t>
  </si>
  <si>
    <t>TRASH domain-containing protein OS=Brassica oleracea var. oleracea OX=109376 PE=3 SV=1</t>
  </si>
  <si>
    <t>A0A0D3DPI3</t>
  </si>
  <si>
    <t>A0A0D3DL36</t>
  </si>
  <si>
    <t>Purple acid phosphatase OS=Brassica oleracea var. oleracea OX=109376 PE=3 SV=1</t>
  </si>
  <si>
    <t>A0A0D3DKD8</t>
  </si>
  <si>
    <t>A0A0D3DJR5</t>
  </si>
  <si>
    <t>Large ribosomal subunit protein uL18c OS=Brassica oleracea var. oleracea OX=109376 PE=3 SV=1</t>
  </si>
  <si>
    <t>A0A0D3DIW7</t>
  </si>
  <si>
    <t>A0A0D3DHY1</t>
  </si>
  <si>
    <t>A0A0D3DF63</t>
  </si>
  <si>
    <t>Elongation factor Tu OS=Brassica oleracea var. oleracea OX=109376 PE=3 SV=1</t>
  </si>
  <si>
    <t>A0A0D3DEK1</t>
  </si>
  <si>
    <t>A0A0D3DEK0</t>
  </si>
  <si>
    <t>Ribosomal protein S7 OS=Brassica oleracea var. oleracea OX=109376 PE=3 SV=1</t>
  </si>
  <si>
    <t>A0A0D3D7A4</t>
  </si>
  <si>
    <t>Sucrose transporter OS=Brassica oleracea var. oleracea OX=109376 PE=3 SV=1</t>
  </si>
  <si>
    <t>A0A0D3D751</t>
  </si>
  <si>
    <t>A0A0D3D511</t>
  </si>
  <si>
    <t>A0A0D3D4X8</t>
  </si>
  <si>
    <t>A0A0D3D2K0</t>
  </si>
  <si>
    <t>Ribosomal eL28/Mak16 domain-containing protein OS=Brassica oleracea var. oleracea OX=109376 PE=3 SV=1</t>
  </si>
  <si>
    <t>A0A0D3D1J9</t>
  </si>
  <si>
    <t>A0A0D3D116</t>
  </si>
  <si>
    <t>Thioredoxin-like protein CDSP32, chloroplastic OS=Brassica oleracea var. oleracea OX=109376 PE=3 SV=1</t>
  </si>
  <si>
    <t>A0A0D3CXM8</t>
  </si>
  <si>
    <t>A0A0D3CVY0</t>
  </si>
  <si>
    <t>A0A0D3CVB9</t>
  </si>
  <si>
    <t>A0A0D3CV14</t>
  </si>
  <si>
    <t>Transketolase-like pyrimidine-binding domain-containing protein OS=Brassica oleracea var. oleracea OX=109376 PE=3 SV=1</t>
  </si>
  <si>
    <t>A0A0D3CUN7</t>
  </si>
  <si>
    <t>A0A0D3CTQ3</t>
  </si>
  <si>
    <t>UspA domain-containing protein OS=Brassica oleracea var. oleracea OX=109376 PE=4 SV=1</t>
  </si>
  <si>
    <t>A0A0D3CTI0</t>
  </si>
  <si>
    <t>A0A0D3CTH4</t>
  </si>
  <si>
    <t>A0A0D3CPS1</t>
  </si>
  <si>
    <t>Formate--tetrahydrofolate ligase OS=Brassica oleracea var. oleracea OX=109376 PE=3 SV=1</t>
  </si>
  <si>
    <t>A0A0D3CP20</t>
  </si>
  <si>
    <t>A0A0D3CL26</t>
  </si>
  <si>
    <t>Expp1 protein OS=Brassica oleracea var. oleracea OX=109376 PE=4 SV=1</t>
  </si>
  <si>
    <t>A0A0D3CKF2</t>
  </si>
  <si>
    <t>RNA helicase OS=Brassica oleracea var. oleracea OX=109376 PE=3 SV=1</t>
  </si>
  <si>
    <t>A0A0D3CK30</t>
  </si>
  <si>
    <t>A0A0D3C7Q8</t>
  </si>
  <si>
    <t>A0A0D3C5N4</t>
  </si>
  <si>
    <t>Calcium-transporting ATPase OS=Brassica oleracea var. oleracea OX=109376 PE=3 SV=1</t>
  </si>
  <si>
    <t>A0A0D3BYU9</t>
  </si>
  <si>
    <t>A0A0D3BWL2</t>
  </si>
  <si>
    <t>A0A0D3BSH8</t>
  </si>
  <si>
    <t>A0A0D3BR50</t>
  </si>
  <si>
    <t>non-specific serine/threonine protein kinase OS=Brassica oleracea var. oleracea OX=109376 PE=3 SV=1</t>
  </si>
  <si>
    <t>A0A0D3BMU8</t>
  </si>
  <si>
    <t>A0A0D3BFR4</t>
  </si>
  <si>
    <t>Aldehyde dehydrogenase domain-containing protein OS=Brassica oleracea var. oleracea OX=109376 PE=3 SV=1</t>
  </si>
  <si>
    <t>A0A0D3BFN2</t>
  </si>
  <si>
    <t>A0A0D3BE26</t>
  </si>
  <si>
    <t>A0A0D3BDG0</t>
  </si>
  <si>
    <t>A0A0D3BD02</t>
  </si>
  <si>
    <t>A0A0D3B9L3</t>
  </si>
  <si>
    <t>A0A0D3B7K2</t>
  </si>
  <si>
    <t>Tetraspanin-8 OS=Brassica oleracea var. oleracea OX=109376 PE=3 SV=1</t>
  </si>
  <si>
    <t>A0A0D3B4F7</t>
  </si>
  <si>
    <t>A0A0D3B4A1</t>
  </si>
  <si>
    <t>non-specific protein-tyrosine kinase OS=Brassica oleracea var. oleracea OX=109376 PE=4 SV=1</t>
  </si>
  <si>
    <t>A0A0D3B0E4</t>
  </si>
  <si>
    <t>Actin 7 OS=Brassica oleracea var. oleracea OX=109376 PE=3 SV=1</t>
  </si>
  <si>
    <t>A0A0D3AZH4</t>
  </si>
  <si>
    <t>A0A0D3AW97</t>
  </si>
  <si>
    <t>A0A0D3AV28</t>
  </si>
  <si>
    <t>A0A0D3AJV0</t>
  </si>
  <si>
    <t>A0A0D3AJ76</t>
  </si>
  <si>
    <t>UDP-glucose 6-dehydrogenase OS=Brassica oleracea var. oleracea OX=109376 PE=3 SV=1</t>
  </si>
  <si>
    <t>A0A0D3AIV0</t>
  </si>
  <si>
    <t>ADP/ATP translocase OS=Brassica oleracea var. oleracea OX=109376 PE=3 SV=1</t>
  </si>
  <si>
    <t>A0A0D3AHJ2</t>
  </si>
  <si>
    <t>A0A0D3AEU6</t>
  </si>
  <si>
    <t>A0A0D3AE60</t>
  </si>
  <si>
    <t>Phosphoglycerate kinase OS=Brassica oleracea var. oleracea OX=109376 PE=3 SV=1</t>
  </si>
  <si>
    <t>A0A0D3ADL7</t>
  </si>
  <si>
    <t>Large ribosomal subunit protein eL20 domain-containing protein OS=Brassica oleracea var. oleracea OX=109376 PE=4 SV=1</t>
  </si>
  <si>
    <t>A0A0D3A5R2</t>
  </si>
  <si>
    <t>Long-chain-fatty-acid--CoA ligase OS=Brassica oleracea var. oleracea OX=109376 PE=3 SV=1</t>
  </si>
  <si>
    <t>A0A0D3A3H9</t>
  </si>
  <si>
    <t>Profilin OS=Brassica oleracea var. oleracea OX=109376 PE=3 SV=1</t>
  </si>
  <si>
    <t>A0A0D3A3G8</t>
  </si>
  <si>
    <t>A0A0D3A2C4</t>
  </si>
  <si>
    <t>A0A0D3A0V7</t>
  </si>
  <si>
    <t>V-type proton ATPase subunit a OS=Brassica oleracea var. oleracea OX=109376 PE=3 SV=1</t>
  </si>
  <si>
    <t>A0A0D2ZTX3</t>
  </si>
  <si>
    <t>A0A0D2ZRR2</t>
  </si>
  <si>
    <t>Accession</t>
    <phoneticPr fontId="1" type="noConversion"/>
  </si>
  <si>
    <t>Description</t>
    <phoneticPr fontId="1" type="noConversion"/>
  </si>
  <si>
    <t>MW [kDa]</t>
    <phoneticPr fontId="1" type="noConversion"/>
  </si>
  <si>
    <t>Area</t>
    <phoneticPr fontId="1" type="noConversion"/>
  </si>
  <si>
    <t># PSM</t>
    <phoneticPr fontId="1" type="noConversion"/>
  </si>
  <si>
    <t>Normalized PSM</t>
    <phoneticPr fontId="1" type="noConversion"/>
  </si>
  <si>
    <t>Description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</si>
</sst>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E-0"/>
    <numFmt numFmtId="177" formatCode="0.0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4957C"/>
        <bgColor indexed="64"/>
      </patternFill>
    </fill>
    <fill>
      <patternFill patternType="solid">
        <fgColor rgb="FF00B4B0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77" fontId="2" fillId="0" borderId="0" xfId="0" applyNumberFormat="1" applyFo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8"/>
  <sheetViews>
    <sheetView workbookViewId="0">
      <selection activeCell="C1" sqref="C1:E1048576"/>
    </sheetView>
  </sheetViews>
  <sheetFormatPr defaultColWidth="9" defaultRowHeight="13.2" x14ac:dyDescent="0.3"/>
  <cols>
    <col min="1" max="1" width="12.6640625" style="1" bestFit="1" customWidth="1"/>
    <col min="2" max="2" width="27" style="1" customWidth="1"/>
    <col min="3" max="12" width="9.21875" style="1" bestFit="1" customWidth="1"/>
    <col min="13" max="16384" width="9" style="1"/>
  </cols>
  <sheetData>
    <row r="1" spans="1:12" x14ac:dyDescent="0.3">
      <c r="A1" s="7" t="s">
        <v>1784</v>
      </c>
      <c r="B1" s="7" t="s">
        <v>1785</v>
      </c>
      <c r="C1" s="7" t="s">
        <v>1786</v>
      </c>
      <c r="D1" s="9" t="s">
        <v>1787</v>
      </c>
      <c r="E1" s="10"/>
      <c r="F1" s="11"/>
      <c r="G1" s="12" t="s">
        <v>1788</v>
      </c>
      <c r="H1" s="13"/>
      <c r="I1" s="14"/>
      <c r="J1" s="15" t="s">
        <v>1789</v>
      </c>
      <c r="K1" s="16"/>
      <c r="L1" s="17"/>
    </row>
    <row r="2" spans="1:12" x14ac:dyDescent="0.3">
      <c r="A2" s="7" t="s">
        <v>1784</v>
      </c>
      <c r="B2" s="7" t="s">
        <v>1790</v>
      </c>
      <c r="C2" s="7" t="s">
        <v>990</v>
      </c>
      <c r="D2" s="7" t="s">
        <v>991</v>
      </c>
      <c r="E2" s="7" t="s">
        <v>992</v>
      </c>
      <c r="F2" s="7" t="s">
        <v>993</v>
      </c>
      <c r="G2" s="7" t="s">
        <v>991</v>
      </c>
      <c r="H2" s="7" t="s">
        <v>992</v>
      </c>
      <c r="I2" s="7" t="s">
        <v>993</v>
      </c>
      <c r="J2" s="7" t="s">
        <v>991</v>
      </c>
      <c r="K2" s="7" t="s">
        <v>992</v>
      </c>
      <c r="L2" s="7" t="s">
        <v>993</v>
      </c>
    </row>
    <row r="3" spans="1:12" x14ac:dyDescent="0.25">
      <c r="A3" s="2" t="s">
        <v>994</v>
      </c>
      <c r="B3" s="2" t="s">
        <v>995</v>
      </c>
      <c r="C3" s="4">
        <v>176.3</v>
      </c>
      <c r="D3" s="5">
        <v>16004138.9335938</v>
      </c>
      <c r="E3" s="5">
        <v>28917538.402343798</v>
      </c>
      <c r="F3" s="5">
        <v>35547281.0546875</v>
      </c>
      <c r="G3" s="3">
        <v>63</v>
      </c>
      <c r="H3" s="3">
        <v>64</v>
      </c>
      <c r="I3" s="3">
        <v>69</v>
      </c>
      <c r="J3" s="6">
        <v>73.668281774133433</v>
      </c>
      <c r="K3" s="6">
        <v>62.405387205387207</v>
      </c>
      <c r="L3" s="6">
        <v>61.647728890787413</v>
      </c>
    </row>
    <row r="4" spans="1:12" x14ac:dyDescent="0.25">
      <c r="A4" s="2" t="s">
        <v>996</v>
      </c>
      <c r="B4" s="2" t="s">
        <v>997</v>
      </c>
      <c r="C4" s="4">
        <v>15.6</v>
      </c>
      <c r="D4" s="5">
        <v>0</v>
      </c>
      <c r="E4" s="5">
        <v>1079498.8125</v>
      </c>
      <c r="F4" s="5">
        <v>0</v>
      </c>
      <c r="G4" s="3"/>
      <c r="H4" s="3">
        <v>2</v>
      </c>
      <c r="I4" s="3"/>
      <c r="J4" s="6" t="s">
        <v>986</v>
      </c>
      <c r="K4" s="6">
        <v>1.9501683501683502</v>
      </c>
      <c r="L4" s="6" t="s">
        <v>986</v>
      </c>
    </row>
    <row r="5" spans="1:12" x14ac:dyDescent="0.25">
      <c r="A5" s="2" t="s">
        <v>998</v>
      </c>
      <c r="B5" s="2" t="s">
        <v>999</v>
      </c>
      <c r="C5" s="4">
        <v>56.8</v>
      </c>
      <c r="D5" s="5">
        <v>0</v>
      </c>
      <c r="E5" s="5">
        <v>333526.4375</v>
      </c>
      <c r="F5" s="5">
        <v>577348.3125</v>
      </c>
      <c r="G5" s="3"/>
      <c r="H5" s="3">
        <v>3</v>
      </c>
      <c r="I5" s="3">
        <v>3</v>
      </c>
      <c r="J5" s="6" t="s">
        <v>986</v>
      </c>
      <c r="K5" s="6">
        <v>2.9252525252525254</v>
      </c>
      <c r="L5" s="6">
        <v>2.6803360387298878</v>
      </c>
    </row>
    <row r="6" spans="1:12" x14ac:dyDescent="0.25">
      <c r="A6" s="2" t="s">
        <v>1000</v>
      </c>
      <c r="B6" s="2" t="s">
        <v>1001</v>
      </c>
      <c r="C6" s="4">
        <v>37.299999999999997</v>
      </c>
      <c r="D6" s="5">
        <v>5029023.734375</v>
      </c>
      <c r="E6" s="5">
        <v>6193626.4375</v>
      </c>
      <c r="F6" s="5">
        <v>5349209.3125</v>
      </c>
      <c r="G6" s="3">
        <v>15</v>
      </c>
      <c r="H6" s="3">
        <v>15</v>
      </c>
      <c r="I6" s="3">
        <v>12</v>
      </c>
      <c r="J6" s="6">
        <v>17.54006708907939</v>
      </c>
      <c r="K6" s="6">
        <v>14.626262626262626</v>
      </c>
      <c r="L6" s="6">
        <v>10.721344154919551</v>
      </c>
    </row>
    <row r="7" spans="1:12" x14ac:dyDescent="0.25">
      <c r="A7" s="2" t="s">
        <v>1002</v>
      </c>
      <c r="B7" s="2" t="s">
        <v>1003</v>
      </c>
      <c r="C7" s="4">
        <v>26.4</v>
      </c>
      <c r="D7" s="5">
        <v>2798171.625</v>
      </c>
      <c r="E7" s="5">
        <v>2265522.1875</v>
      </c>
      <c r="F7" s="5">
        <v>5684261.5</v>
      </c>
      <c r="G7" s="3">
        <v>4</v>
      </c>
      <c r="H7" s="3">
        <v>3</v>
      </c>
      <c r="I7" s="3">
        <v>4</v>
      </c>
      <c r="J7" s="6">
        <v>4.6773512237545036</v>
      </c>
      <c r="K7" s="6">
        <v>2.9252525252525254</v>
      </c>
      <c r="L7" s="6">
        <v>3.5737813849731839</v>
      </c>
    </row>
    <row r="8" spans="1:12" x14ac:dyDescent="0.25">
      <c r="A8" s="2" t="s">
        <v>1004</v>
      </c>
      <c r="B8" s="2" t="s">
        <v>1005</v>
      </c>
      <c r="C8" s="4">
        <v>59.6</v>
      </c>
      <c r="D8" s="5">
        <v>16450217.921875</v>
      </c>
      <c r="E8" s="5">
        <v>25931905.1875</v>
      </c>
      <c r="F8" s="5">
        <v>52147770.4375</v>
      </c>
      <c r="G8" s="3">
        <v>40</v>
      </c>
      <c r="H8" s="3">
        <v>41</v>
      </c>
      <c r="I8" s="3">
        <v>49</v>
      </c>
      <c r="J8" s="6">
        <v>46.773512237545035</v>
      </c>
      <c r="K8" s="6">
        <v>39.978451178451181</v>
      </c>
      <c r="L8" s="6">
        <v>43.778821965921495</v>
      </c>
    </row>
    <row r="9" spans="1:12" x14ac:dyDescent="0.25">
      <c r="A9" s="2" t="s">
        <v>1006</v>
      </c>
      <c r="B9" s="2" t="s">
        <v>1007</v>
      </c>
      <c r="C9" s="4">
        <v>31.1</v>
      </c>
      <c r="D9" s="5">
        <v>0</v>
      </c>
      <c r="E9" s="5">
        <v>2264086.0625</v>
      </c>
      <c r="F9" s="5">
        <v>2368435.34375</v>
      </c>
      <c r="G9" s="3"/>
      <c r="H9" s="3">
        <v>4</v>
      </c>
      <c r="I9" s="3">
        <v>4</v>
      </c>
      <c r="J9" s="6" t="s">
        <v>986</v>
      </c>
      <c r="K9" s="6">
        <v>3.9003367003367004</v>
      </c>
      <c r="L9" s="6">
        <v>3.5737813849731839</v>
      </c>
    </row>
    <row r="10" spans="1:12" x14ac:dyDescent="0.25">
      <c r="A10" s="2" t="s">
        <v>1008</v>
      </c>
      <c r="B10" s="2" t="s">
        <v>1009</v>
      </c>
      <c r="C10" s="4">
        <v>50.8</v>
      </c>
      <c r="D10" s="5">
        <v>4780601.68359375</v>
      </c>
      <c r="E10" s="5">
        <v>3867010.171875</v>
      </c>
      <c r="F10" s="5">
        <v>3296169.25</v>
      </c>
      <c r="G10" s="3">
        <v>13</v>
      </c>
      <c r="H10" s="3">
        <v>10</v>
      </c>
      <c r="I10" s="3">
        <v>7</v>
      </c>
      <c r="J10" s="6">
        <v>15.201391477202138</v>
      </c>
      <c r="K10" s="6">
        <v>9.7508417508417509</v>
      </c>
      <c r="L10" s="6">
        <v>6.2541174237030717</v>
      </c>
    </row>
    <row r="11" spans="1:12" x14ac:dyDescent="0.25">
      <c r="A11" s="2" t="s">
        <v>1010</v>
      </c>
      <c r="B11" s="2" t="s">
        <v>1011</v>
      </c>
      <c r="C11" s="4">
        <v>54.9</v>
      </c>
      <c r="D11" s="5">
        <v>3395300.1875</v>
      </c>
      <c r="E11" s="5">
        <v>7308181.0625</v>
      </c>
      <c r="F11" s="5">
        <v>16894231.625</v>
      </c>
      <c r="G11" s="3">
        <v>11</v>
      </c>
      <c r="H11" s="3">
        <v>11</v>
      </c>
      <c r="I11" s="3">
        <v>15</v>
      </c>
      <c r="J11" s="6">
        <v>12.862715865324887</v>
      </c>
      <c r="K11" s="6">
        <v>10.725925925925926</v>
      </c>
      <c r="L11" s="6">
        <v>13.40168019364944</v>
      </c>
    </row>
    <row r="12" spans="1:12" x14ac:dyDescent="0.25">
      <c r="A12" s="2" t="s">
        <v>1012</v>
      </c>
      <c r="B12" s="2" t="s">
        <v>1013</v>
      </c>
      <c r="C12" s="4">
        <v>82.6</v>
      </c>
      <c r="D12" s="5">
        <v>2459303.3046875</v>
      </c>
      <c r="E12" s="5">
        <v>2640828.59765625</v>
      </c>
      <c r="F12" s="5">
        <v>4379725.21875</v>
      </c>
      <c r="G12" s="3">
        <v>29</v>
      </c>
      <c r="H12" s="3">
        <v>34</v>
      </c>
      <c r="I12" s="3">
        <v>38</v>
      </c>
      <c r="J12" s="6">
        <v>33.910796372220155</v>
      </c>
      <c r="K12" s="6">
        <v>33.152861952861954</v>
      </c>
      <c r="L12" s="6">
        <v>33.950923157245242</v>
      </c>
    </row>
    <row r="13" spans="1:12" x14ac:dyDescent="0.25">
      <c r="A13" s="2" t="s">
        <v>1014</v>
      </c>
      <c r="B13" s="2" t="s">
        <v>1015</v>
      </c>
      <c r="C13" s="4">
        <v>44.6</v>
      </c>
      <c r="D13" s="5">
        <v>4607706.890625</v>
      </c>
      <c r="E13" s="5">
        <v>2807320.34375</v>
      </c>
      <c r="F13" s="5">
        <v>3207898.34375</v>
      </c>
      <c r="G13" s="3">
        <v>17</v>
      </c>
      <c r="H13" s="3">
        <v>9</v>
      </c>
      <c r="I13" s="3">
        <v>6</v>
      </c>
      <c r="J13" s="6">
        <v>19.878742700956643</v>
      </c>
      <c r="K13" s="6">
        <v>8.7757575757575754</v>
      </c>
      <c r="L13" s="6">
        <v>5.3606720774597756</v>
      </c>
    </row>
    <row r="14" spans="1:12" x14ac:dyDescent="0.25">
      <c r="A14" s="2" t="s">
        <v>1016</v>
      </c>
      <c r="B14" s="2" t="s">
        <v>1017</v>
      </c>
      <c r="C14" s="4">
        <v>56.9</v>
      </c>
      <c r="D14" s="5">
        <v>0</v>
      </c>
      <c r="E14" s="5">
        <v>3085005.3125</v>
      </c>
      <c r="F14" s="5">
        <v>0</v>
      </c>
      <c r="G14" s="3"/>
      <c r="H14" s="3">
        <v>9</v>
      </c>
      <c r="I14" s="3"/>
      <c r="J14" s="6" t="s">
        <v>986</v>
      </c>
      <c r="K14" s="6">
        <v>8.7757575757575754</v>
      </c>
      <c r="L14" s="6" t="s">
        <v>986</v>
      </c>
    </row>
    <row r="15" spans="1:12" x14ac:dyDescent="0.25">
      <c r="A15" s="2" t="s">
        <v>1018</v>
      </c>
      <c r="B15" s="2" t="s">
        <v>1019</v>
      </c>
      <c r="C15" s="4">
        <v>25.3</v>
      </c>
      <c r="D15" s="5">
        <v>0</v>
      </c>
      <c r="E15" s="5">
        <v>1817711.15625</v>
      </c>
      <c r="F15" s="5">
        <v>1963554.59375</v>
      </c>
      <c r="G15" s="3"/>
      <c r="H15" s="3">
        <v>16</v>
      </c>
      <c r="I15" s="3">
        <v>12</v>
      </c>
      <c r="J15" s="6" t="s">
        <v>986</v>
      </c>
      <c r="K15" s="6">
        <v>15.601346801346802</v>
      </c>
      <c r="L15" s="6">
        <v>10.721344154919551</v>
      </c>
    </row>
    <row r="16" spans="1:12" x14ac:dyDescent="0.25">
      <c r="A16" s="2" t="s">
        <v>1020</v>
      </c>
      <c r="B16" s="2" t="s">
        <v>1021</v>
      </c>
      <c r="C16" s="4">
        <v>21.9</v>
      </c>
      <c r="D16" s="5">
        <v>3036257.0625</v>
      </c>
      <c r="E16" s="5">
        <v>4197147.1875</v>
      </c>
      <c r="F16" s="5">
        <v>7552752.75</v>
      </c>
      <c r="G16" s="3">
        <v>19</v>
      </c>
      <c r="H16" s="3">
        <v>20</v>
      </c>
      <c r="I16" s="3">
        <v>18</v>
      </c>
      <c r="J16" s="6">
        <v>22.217418312833892</v>
      </c>
      <c r="K16" s="6">
        <v>19.501683501683502</v>
      </c>
      <c r="L16" s="6">
        <v>16.082016232379328</v>
      </c>
    </row>
    <row r="17" spans="1:12" x14ac:dyDescent="0.25">
      <c r="A17" s="2" t="s">
        <v>1022</v>
      </c>
      <c r="B17" s="2" t="s">
        <v>1023</v>
      </c>
      <c r="C17" s="4">
        <v>24.5</v>
      </c>
      <c r="D17" s="5">
        <v>0</v>
      </c>
      <c r="E17" s="5">
        <v>678430.125</v>
      </c>
      <c r="F17" s="5">
        <v>1250086.875</v>
      </c>
      <c r="G17" s="3"/>
      <c r="H17" s="3">
        <v>4</v>
      </c>
      <c r="I17" s="3">
        <v>8</v>
      </c>
      <c r="J17" s="6" t="s">
        <v>986</v>
      </c>
      <c r="K17" s="6">
        <v>3.9003367003367004</v>
      </c>
      <c r="L17" s="6">
        <v>7.1475627699463677</v>
      </c>
    </row>
    <row r="18" spans="1:12" x14ac:dyDescent="0.25">
      <c r="A18" s="2" t="s">
        <v>1024</v>
      </c>
      <c r="B18" s="2" t="s">
        <v>1025</v>
      </c>
      <c r="C18" s="4">
        <v>23.8</v>
      </c>
      <c r="D18" s="5">
        <v>653898.90625</v>
      </c>
      <c r="E18" s="5">
        <v>2302790.6875</v>
      </c>
      <c r="F18" s="5">
        <v>1147211.5</v>
      </c>
      <c r="G18" s="3">
        <v>3</v>
      </c>
      <c r="H18" s="3">
        <v>5</v>
      </c>
      <c r="I18" s="3">
        <v>4</v>
      </c>
      <c r="J18" s="6">
        <v>3.5080134178158779</v>
      </c>
      <c r="K18" s="6">
        <v>4.8754208754208754</v>
      </c>
      <c r="L18" s="6">
        <v>3.5737813849731839</v>
      </c>
    </row>
    <row r="19" spans="1:12" x14ac:dyDescent="0.25">
      <c r="A19" s="2" t="s">
        <v>1026</v>
      </c>
      <c r="B19" s="2" t="s">
        <v>1027</v>
      </c>
      <c r="C19" s="4">
        <v>29.7</v>
      </c>
      <c r="D19" s="5">
        <v>2846166.25</v>
      </c>
      <c r="E19" s="5">
        <v>1008605.5625</v>
      </c>
      <c r="F19" s="5">
        <v>26547517.359375</v>
      </c>
      <c r="G19" s="3">
        <v>10</v>
      </c>
      <c r="H19" s="3">
        <v>20</v>
      </c>
      <c r="I19" s="3">
        <v>24</v>
      </c>
      <c r="J19" s="6">
        <v>11.693378059386259</v>
      </c>
      <c r="K19" s="6">
        <v>19.501683501683502</v>
      </c>
      <c r="L19" s="6">
        <v>21.442688309839102</v>
      </c>
    </row>
    <row r="20" spans="1:12" x14ac:dyDescent="0.25">
      <c r="A20" s="2" t="s">
        <v>1028</v>
      </c>
      <c r="B20" s="2" t="s">
        <v>1029</v>
      </c>
      <c r="C20" s="4">
        <v>52.6</v>
      </c>
      <c r="D20" s="5">
        <v>3766175.953125</v>
      </c>
      <c r="E20" s="5">
        <v>3955013.515625</v>
      </c>
      <c r="F20" s="5">
        <v>4747913.5234375</v>
      </c>
      <c r="G20" s="3">
        <v>10</v>
      </c>
      <c r="H20" s="3">
        <v>9</v>
      </c>
      <c r="I20" s="3">
        <v>9</v>
      </c>
      <c r="J20" s="6">
        <v>11.693378059386259</v>
      </c>
      <c r="K20" s="6">
        <v>8.7757575757575754</v>
      </c>
      <c r="L20" s="6">
        <v>8.0410081161896638</v>
      </c>
    </row>
    <row r="21" spans="1:12" x14ac:dyDescent="0.25">
      <c r="A21" s="2" t="s">
        <v>1030</v>
      </c>
      <c r="B21" s="2" t="s">
        <v>1029</v>
      </c>
      <c r="C21" s="4">
        <v>55.1</v>
      </c>
      <c r="D21" s="5">
        <v>2454289.3515625</v>
      </c>
      <c r="E21" s="5">
        <v>1453190.75</v>
      </c>
      <c r="F21" s="5">
        <v>0</v>
      </c>
      <c r="G21" s="3">
        <v>8</v>
      </c>
      <c r="H21" s="3">
        <v>4</v>
      </c>
      <c r="I21" s="3"/>
      <c r="J21" s="6">
        <v>9.3547024475090073</v>
      </c>
      <c r="K21" s="6">
        <v>3.9003367003367004</v>
      </c>
      <c r="L21" s="6" t="s">
        <v>986</v>
      </c>
    </row>
    <row r="22" spans="1:12" x14ac:dyDescent="0.25">
      <c r="A22" s="2" t="s">
        <v>1031</v>
      </c>
      <c r="B22" s="2" t="s">
        <v>1032</v>
      </c>
      <c r="C22" s="4">
        <v>44.7</v>
      </c>
      <c r="D22" s="5">
        <v>4569246.421875</v>
      </c>
      <c r="E22" s="5">
        <v>3560115.1875</v>
      </c>
      <c r="F22" s="5">
        <v>2882501.40625</v>
      </c>
      <c r="G22" s="3">
        <v>11</v>
      </c>
      <c r="H22" s="3">
        <v>8</v>
      </c>
      <c r="I22" s="3">
        <v>8</v>
      </c>
      <c r="J22" s="6">
        <v>12.862715865324887</v>
      </c>
      <c r="K22" s="6">
        <v>7.8006734006734009</v>
      </c>
      <c r="L22" s="6">
        <v>7.1475627699463677</v>
      </c>
    </row>
    <row r="23" spans="1:12" x14ac:dyDescent="0.25">
      <c r="A23" s="2" t="s">
        <v>1033</v>
      </c>
      <c r="B23" s="2" t="s">
        <v>1034</v>
      </c>
      <c r="C23" s="4">
        <v>6.1</v>
      </c>
      <c r="D23" s="5">
        <v>0</v>
      </c>
      <c r="E23" s="5">
        <v>720659.265625</v>
      </c>
      <c r="F23" s="5">
        <v>0</v>
      </c>
      <c r="G23" s="3"/>
      <c r="H23" s="3">
        <v>2</v>
      </c>
      <c r="I23" s="3"/>
      <c r="J23" s="6" t="s">
        <v>986</v>
      </c>
      <c r="K23" s="6">
        <v>1.9501683501683502</v>
      </c>
      <c r="L23" s="6" t="s">
        <v>986</v>
      </c>
    </row>
    <row r="24" spans="1:12" x14ac:dyDescent="0.25">
      <c r="A24" s="2" t="s">
        <v>1035</v>
      </c>
      <c r="B24" s="2" t="s">
        <v>1036</v>
      </c>
      <c r="C24" s="4">
        <v>84.2</v>
      </c>
      <c r="D24" s="5">
        <v>8212741.671875</v>
      </c>
      <c r="E24" s="5">
        <v>10884639.40625</v>
      </c>
      <c r="F24" s="5">
        <v>8097565.5625</v>
      </c>
      <c r="G24" s="3">
        <v>26</v>
      </c>
      <c r="H24" s="3">
        <v>20</v>
      </c>
      <c r="I24" s="3">
        <v>22</v>
      </c>
      <c r="J24" s="6">
        <v>30.402782954404277</v>
      </c>
      <c r="K24" s="6">
        <v>19.501683501683502</v>
      </c>
      <c r="L24" s="6">
        <v>19.655797617352508</v>
      </c>
    </row>
    <row r="25" spans="1:12" x14ac:dyDescent="0.25">
      <c r="A25" s="2" t="s">
        <v>1037</v>
      </c>
      <c r="B25" s="2" t="s">
        <v>1036</v>
      </c>
      <c r="C25" s="4">
        <v>80.8</v>
      </c>
      <c r="D25" s="5">
        <v>200390</v>
      </c>
      <c r="E25" s="5">
        <v>131302.484375</v>
      </c>
      <c r="F25" s="5">
        <v>0</v>
      </c>
      <c r="G25" s="3">
        <v>9</v>
      </c>
      <c r="H25" s="3">
        <v>6</v>
      </c>
      <c r="I25" s="3">
        <v>4</v>
      </c>
      <c r="J25" s="6">
        <v>10.524040253447634</v>
      </c>
      <c r="K25" s="6">
        <v>5.8505050505050509</v>
      </c>
      <c r="L25" s="6">
        <v>3.5737813849731839</v>
      </c>
    </row>
    <row r="26" spans="1:12" x14ac:dyDescent="0.25">
      <c r="A26" s="2" t="s">
        <v>1038</v>
      </c>
      <c r="B26" s="2" t="s">
        <v>1039</v>
      </c>
      <c r="C26" s="4">
        <v>21.8</v>
      </c>
      <c r="D26" s="5">
        <v>207072.21875</v>
      </c>
      <c r="E26" s="5">
        <v>2185990.21875</v>
      </c>
      <c r="F26" s="5">
        <v>2949002.4375</v>
      </c>
      <c r="G26" s="3">
        <v>4</v>
      </c>
      <c r="H26" s="3">
        <v>7</v>
      </c>
      <c r="I26" s="3">
        <v>9</v>
      </c>
      <c r="J26" s="6">
        <v>4.6773512237545036</v>
      </c>
      <c r="K26" s="6">
        <v>6.8255892255892263</v>
      </c>
      <c r="L26" s="6">
        <v>8.0410081161896638</v>
      </c>
    </row>
    <row r="27" spans="1:12" x14ac:dyDescent="0.25">
      <c r="A27" s="2" t="s">
        <v>1040</v>
      </c>
      <c r="B27" s="2" t="s">
        <v>1041</v>
      </c>
      <c r="C27" s="4">
        <v>17.5</v>
      </c>
      <c r="D27" s="5">
        <v>178973.90625</v>
      </c>
      <c r="E27" s="5">
        <v>359596.375</v>
      </c>
      <c r="F27" s="5">
        <v>1166277.25</v>
      </c>
      <c r="G27" s="3">
        <v>5</v>
      </c>
      <c r="H27" s="3">
        <v>9</v>
      </c>
      <c r="I27" s="3">
        <v>11</v>
      </c>
      <c r="J27" s="6">
        <v>5.8466890296931293</v>
      </c>
      <c r="K27" s="6">
        <v>8.7757575757575754</v>
      </c>
      <c r="L27" s="6">
        <v>9.8278988086762542</v>
      </c>
    </row>
    <row r="28" spans="1:12" x14ac:dyDescent="0.25">
      <c r="A28" s="2" t="s">
        <v>1042</v>
      </c>
      <c r="B28" s="2" t="s">
        <v>1043</v>
      </c>
      <c r="C28" s="4">
        <v>41.2</v>
      </c>
      <c r="D28" s="5">
        <v>765026.84375</v>
      </c>
      <c r="E28" s="5">
        <v>2988663.328125</v>
      </c>
      <c r="F28" s="5">
        <v>5619792.9375</v>
      </c>
      <c r="G28" s="3">
        <v>4</v>
      </c>
      <c r="H28" s="3">
        <v>7</v>
      </c>
      <c r="I28" s="3">
        <v>8</v>
      </c>
      <c r="J28" s="6">
        <v>4.6773512237545036</v>
      </c>
      <c r="K28" s="6">
        <v>6.8255892255892263</v>
      </c>
      <c r="L28" s="6">
        <v>7.1475627699463677</v>
      </c>
    </row>
    <row r="29" spans="1:12" x14ac:dyDescent="0.25">
      <c r="A29" s="2" t="s">
        <v>1044</v>
      </c>
      <c r="B29" s="2" t="s">
        <v>1025</v>
      </c>
      <c r="C29" s="4">
        <v>27.9</v>
      </c>
      <c r="D29" s="5">
        <v>1825414.3125</v>
      </c>
      <c r="E29" s="5">
        <v>9361447.125</v>
      </c>
      <c r="F29" s="5">
        <v>16541131.25</v>
      </c>
      <c r="G29" s="3">
        <v>13</v>
      </c>
      <c r="H29" s="3">
        <v>25</v>
      </c>
      <c r="I29" s="3">
        <v>25</v>
      </c>
      <c r="J29" s="6">
        <v>15.201391477202138</v>
      </c>
      <c r="K29" s="6">
        <v>24.377104377104377</v>
      </c>
      <c r="L29" s="6">
        <v>22.336133656082396</v>
      </c>
    </row>
    <row r="30" spans="1:12" x14ac:dyDescent="0.25">
      <c r="A30" s="2" t="s">
        <v>1045</v>
      </c>
      <c r="B30" s="2" t="s">
        <v>1046</v>
      </c>
      <c r="C30" s="4">
        <v>30.4</v>
      </c>
      <c r="D30" s="5">
        <v>1526988.125</v>
      </c>
      <c r="E30" s="5">
        <v>2117603.578125</v>
      </c>
      <c r="F30" s="5">
        <v>3425748.6875</v>
      </c>
      <c r="G30" s="3">
        <v>16</v>
      </c>
      <c r="H30" s="3">
        <v>16</v>
      </c>
      <c r="I30" s="3">
        <v>18</v>
      </c>
      <c r="J30" s="6">
        <v>18.709404895018015</v>
      </c>
      <c r="K30" s="6">
        <v>15.601346801346802</v>
      </c>
      <c r="L30" s="6">
        <v>16.082016232379328</v>
      </c>
    </row>
    <row r="31" spans="1:12" x14ac:dyDescent="0.25">
      <c r="A31" s="2" t="s">
        <v>1047</v>
      </c>
      <c r="B31" s="2" t="s">
        <v>1048</v>
      </c>
      <c r="C31" s="4">
        <v>29.1</v>
      </c>
      <c r="D31" s="5">
        <v>0</v>
      </c>
      <c r="E31" s="5">
        <v>613648.71875</v>
      </c>
      <c r="F31" s="5">
        <v>440743.1875</v>
      </c>
      <c r="G31" s="3"/>
      <c r="H31" s="3">
        <v>14</v>
      </c>
      <c r="I31" s="3">
        <v>14</v>
      </c>
      <c r="J31" s="6" t="s">
        <v>986</v>
      </c>
      <c r="K31" s="6">
        <v>13.651178451178453</v>
      </c>
      <c r="L31" s="6">
        <v>12.508234847406143</v>
      </c>
    </row>
    <row r="32" spans="1:12" x14ac:dyDescent="0.25">
      <c r="A32" s="2" t="s">
        <v>1049</v>
      </c>
      <c r="B32" s="2" t="s">
        <v>1050</v>
      </c>
      <c r="C32" s="4">
        <v>54.2</v>
      </c>
      <c r="D32" s="5">
        <v>1374834.390625</v>
      </c>
      <c r="E32" s="5">
        <v>1794437.84375</v>
      </c>
      <c r="F32" s="5">
        <v>3248789</v>
      </c>
      <c r="G32" s="3">
        <v>6</v>
      </c>
      <c r="H32" s="3">
        <v>5</v>
      </c>
      <c r="I32" s="3">
        <v>9</v>
      </c>
      <c r="J32" s="6">
        <v>7.0160268356317559</v>
      </c>
      <c r="K32" s="6">
        <v>4.8754208754208754</v>
      </c>
      <c r="L32" s="6">
        <v>8.0410081161896638</v>
      </c>
    </row>
    <row r="33" spans="1:12" x14ac:dyDescent="0.25">
      <c r="A33" s="2" t="s">
        <v>1051</v>
      </c>
      <c r="B33" s="2" t="s">
        <v>1052</v>
      </c>
      <c r="C33" s="4">
        <v>23.5</v>
      </c>
      <c r="D33" s="5">
        <v>1795140.3125</v>
      </c>
      <c r="E33" s="5">
        <v>9931685.25</v>
      </c>
      <c r="F33" s="5">
        <v>875414.3125</v>
      </c>
      <c r="G33" s="3">
        <v>3</v>
      </c>
      <c r="H33" s="3">
        <v>11</v>
      </c>
      <c r="I33" s="3">
        <v>15</v>
      </c>
      <c r="J33" s="6">
        <v>3.5080134178158779</v>
      </c>
      <c r="K33" s="6">
        <v>10.725925925925926</v>
      </c>
      <c r="L33" s="6">
        <v>13.40168019364944</v>
      </c>
    </row>
    <row r="34" spans="1:12" x14ac:dyDescent="0.25">
      <c r="A34" s="2" t="s">
        <v>1053</v>
      </c>
      <c r="B34" s="2" t="s">
        <v>1054</v>
      </c>
      <c r="C34" s="4">
        <v>18.399999999999999</v>
      </c>
      <c r="D34" s="5">
        <v>0</v>
      </c>
      <c r="E34" s="5">
        <v>1025009.03125</v>
      </c>
      <c r="F34" s="5">
        <v>2079658.25</v>
      </c>
      <c r="G34" s="3"/>
      <c r="H34" s="3">
        <v>3</v>
      </c>
      <c r="I34" s="3">
        <v>3</v>
      </c>
      <c r="J34" s="6" t="s">
        <v>986</v>
      </c>
      <c r="K34" s="6">
        <v>2.9252525252525254</v>
      </c>
      <c r="L34" s="6">
        <v>2.6803360387298878</v>
      </c>
    </row>
    <row r="35" spans="1:12" x14ac:dyDescent="0.25">
      <c r="A35" s="2" t="s">
        <v>1055</v>
      </c>
      <c r="B35" s="2" t="s">
        <v>1056</v>
      </c>
      <c r="C35" s="4">
        <v>15.9</v>
      </c>
      <c r="D35" s="5">
        <v>222394.546875</v>
      </c>
      <c r="E35" s="5">
        <v>368557.34375</v>
      </c>
      <c r="F35" s="5">
        <v>642745</v>
      </c>
      <c r="G35" s="3">
        <v>8</v>
      </c>
      <c r="H35" s="3">
        <v>8</v>
      </c>
      <c r="I35" s="3">
        <v>10</v>
      </c>
      <c r="J35" s="6">
        <v>9.3547024475090073</v>
      </c>
      <c r="K35" s="6">
        <v>7.8006734006734009</v>
      </c>
      <c r="L35" s="6">
        <v>8.934453462432959</v>
      </c>
    </row>
    <row r="36" spans="1:12" x14ac:dyDescent="0.25">
      <c r="A36" s="2" t="s">
        <v>1057</v>
      </c>
      <c r="B36" s="2" t="s">
        <v>1058</v>
      </c>
      <c r="C36" s="4">
        <v>44.1</v>
      </c>
      <c r="D36" s="5">
        <v>135727</v>
      </c>
      <c r="E36" s="5">
        <v>1237126.96875</v>
      </c>
      <c r="F36" s="5">
        <v>1589607.34375</v>
      </c>
      <c r="G36" s="3">
        <v>16</v>
      </c>
      <c r="H36" s="3">
        <v>18</v>
      </c>
      <c r="I36" s="3">
        <v>23</v>
      </c>
      <c r="J36" s="6">
        <v>18.709404895018015</v>
      </c>
      <c r="K36" s="6">
        <v>17.551515151515151</v>
      </c>
      <c r="L36" s="6">
        <v>20.549242963595805</v>
      </c>
    </row>
    <row r="37" spans="1:12" x14ac:dyDescent="0.25">
      <c r="A37" s="2" t="s">
        <v>1059</v>
      </c>
      <c r="B37" s="2" t="s">
        <v>1034</v>
      </c>
      <c r="C37" s="4">
        <v>66.8</v>
      </c>
      <c r="D37" s="5">
        <v>788391.078125</v>
      </c>
      <c r="E37" s="5">
        <v>1557622.53125</v>
      </c>
      <c r="F37" s="5">
        <v>909096.3125</v>
      </c>
      <c r="G37" s="3">
        <v>6</v>
      </c>
      <c r="H37" s="3">
        <v>4</v>
      </c>
      <c r="I37" s="3">
        <v>2</v>
      </c>
      <c r="J37" s="6">
        <v>7.0160268356317559</v>
      </c>
      <c r="K37" s="6">
        <v>3.9003367003367004</v>
      </c>
      <c r="L37" s="6">
        <v>1.7868906924865919</v>
      </c>
    </row>
    <row r="38" spans="1:12" x14ac:dyDescent="0.25">
      <c r="A38" s="2" t="s">
        <v>1060</v>
      </c>
      <c r="B38" s="2" t="s">
        <v>1061</v>
      </c>
      <c r="C38" s="4">
        <v>28.9</v>
      </c>
      <c r="D38" s="5">
        <v>197198.171875</v>
      </c>
      <c r="E38" s="5">
        <v>940899.34375</v>
      </c>
      <c r="F38" s="5">
        <v>1412694.03125</v>
      </c>
      <c r="G38" s="3">
        <v>3</v>
      </c>
      <c r="H38" s="3">
        <v>3</v>
      </c>
      <c r="I38" s="3">
        <v>4</v>
      </c>
      <c r="J38" s="6">
        <v>3.5080134178158779</v>
      </c>
      <c r="K38" s="6">
        <v>2.9252525252525254</v>
      </c>
      <c r="L38" s="6">
        <v>3.5737813849731839</v>
      </c>
    </row>
    <row r="39" spans="1:12" x14ac:dyDescent="0.25">
      <c r="A39" s="2" t="s">
        <v>1062</v>
      </c>
      <c r="B39" s="2" t="s">
        <v>1063</v>
      </c>
      <c r="C39" s="4">
        <v>40.6</v>
      </c>
      <c r="D39" s="5">
        <v>13879889.1875</v>
      </c>
      <c r="E39" s="5">
        <v>30590886.734375</v>
      </c>
      <c r="F39" s="5">
        <v>35928711.125</v>
      </c>
      <c r="G39" s="3">
        <v>46</v>
      </c>
      <c r="H39" s="3">
        <v>43</v>
      </c>
      <c r="I39" s="3">
        <v>35</v>
      </c>
      <c r="J39" s="6">
        <v>53.78953907317679</v>
      </c>
      <c r="K39" s="6">
        <v>41.928619528619528</v>
      </c>
      <c r="L39" s="6">
        <v>31.270587118515355</v>
      </c>
    </row>
    <row r="40" spans="1:12" x14ac:dyDescent="0.25">
      <c r="A40" s="2" t="s">
        <v>1064</v>
      </c>
      <c r="B40" s="2" t="s">
        <v>1065</v>
      </c>
      <c r="C40" s="4">
        <v>80</v>
      </c>
      <c r="D40" s="5">
        <v>1332386.65625</v>
      </c>
      <c r="E40" s="5">
        <v>1293981.1875</v>
      </c>
      <c r="F40" s="5">
        <v>0</v>
      </c>
      <c r="G40" s="3">
        <v>5</v>
      </c>
      <c r="H40" s="3">
        <v>3</v>
      </c>
      <c r="I40" s="3"/>
      <c r="J40" s="6">
        <v>5.8466890296931293</v>
      </c>
      <c r="K40" s="6">
        <v>2.9252525252525254</v>
      </c>
      <c r="L40" s="6" t="s">
        <v>986</v>
      </c>
    </row>
    <row r="41" spans="1:12" x14ac:dyDescent="0.25">
      <c r="A41" s="2" t="s">
        <v>1066</v>
      </c>
      <c r="B41" s="2" t="s">
        <v>1067</v>
      </c>
      <c r="C41" s="4">
        <v>20.8</v>
      </c>
      <c r="D41" s="5">
        <v>956564.859375</v>
      </c>
      <c r="E41" s="5">
        <v>1718191.375</v>
      </c>
      <c r="F41" s="5">
        <v>4882071.0625</v>
      </c>
      <c r="G41" s="3">
        <v>4</v>
      </c>
      <c r="H41" s="3">
        <v>7</v>
      </c>
      <c r="I41" s="3">
        <v>9</v>
      </c>
      <c r="J41" s="6">
        <v>4.6773512237545036</v>
      </c>
      <c r="K41" s="6">
        <v>6.8255892255892263</v>
      </c>
      <c r="L41" s="6">
        <v>8.0410081161896638</v>
      </c>
    </row>
    <row r="42" spans="1:12" x14ac:dyDescent="0.25">
      <c r="A42" s="2" t="s">
        <v>1068</v>
      </c>
      <c r="B42" s="2" t="s">
        <v>1069</v>
      </c>
      <c r="C42" s="4">
        <v>65.7</v>
      </c>
      <c r="D42" s="5">
        <v>519027.296875</v>
      </c>
      <c r="E42" s="5">
        <v>2146455.71875</v>
      </c>
      <c r="F42" s="5">
        <v>2545829.46875</v>
      </c>
      <c r="G42" s="3">
        <v>4</v>
      </c>
      <c r="H42" s="3">
        <v>8</v>
      </c>
      <c r="I42" s="3">
        <v>8</v>
      </c>
      <c r="J42" s="6">
        <v>4.6773512237545036</v>
      </c>
      <c r="K42" s="6">
        <v>7.8006734006734009</v>
      </c>
      <c r="L42" s="6">
        <v>7.1475627699463677</v>
      </c>
    </row>
    <row r="43" spans="1:12" x14ac:dyDescent="0.25">
      <c r="A43" s="2" t="s">
        <v>1070</v>
      </c>
      <c r="B43" s="2" t="s">
        <v>1071</v>
      </c>
      <c r="C43" s="4">
        <v>22.6</v>
      </c>
      <c r="D43" s="5">
        <v>5809970.875</v>
      </c>
      <c r="E43" s="5">
        <v>3947386.46875</v>
      </c>
      <c r="F43" s="5">
        <v>8763930.03125</v>
      </c>
      <c r="G43" s="3">
        <v>12</v>
      </c>
      <c r="H43" s="3">
        <v>10</v>
      </c>
      <c r="I43" s="3">
        <v>11</v>
      </c>
      <c r="J43" s="6">
        <v>14.032053671263512</v>
      </c>
      <c r="K43" s="6">
        <v>9.7508417508417509</v>
      </c>
      <c r="L43" s="6">
        <v>9.8278988086762542</v>
      </c>
    </row>
    <row r="44" spans="1:12" x14ac:dyDescent="0.25">
      <c r="A44" s="2" t="s">
        <v>1072</v>
      </c>
      <c r="B44" s="2" t="s">
        <v>1073</v>
      </c>
      <c r="C44" s="4">
        <v>30.5</v>
      </c>
      <c r="D44" s="5">
        <v>8527416.28125</v>
      </c>
      <c r="E44" s="5">
        <v>7019081.875</v>
      </c>
      <c r="F44" s="5">
        <v>18972423.9296875</v>
      </c>
      <c r="G44" s="3">
        <v>31</v>
      </c>
      <c r="H44" s="3">
        <v>29</v>
      </c>
      <c r="I44" s="3">
        <v>36</v>
      </c>
      <c r="J44" s="6">
        <v>36.249471984097404</v>
      </c>
      <c r="K44" s="6">
        <v>28.277441077441079</v>
      </c>
      <c r="L44" s="6">
        <v>32.164032464758655</v>
      </c>
    </row>
    <row r="45" spans="1:12" x14ac:dyDescent="0.25">
      <c r="A45" s="2" t="s">
        <v>1074</v>
      </c>
      <c r="B45" s="2" t="s">
        <v>1075</v>
      </c>
      <c r="C45" s="4">
        <v>17.100000000000001</v>
      </c>
      <c r="D45" s="5">
        <v>285929.5</v>
      </c>
      <c r="E45" s="5">
        <v>2733657.21875</v>
      </c>
      <c r="F45" s="5">
        <v>3466836.9375</v>
      </c>
      <c r="G45" s="3">
        <v>3</v>
      </c>
      <c r="H45" s="3">
        <v>6</v>
      </c>
      <c r="I45" s="3">
        <v>5</v>
      </c>
      <c r="J45" s="6">
        <v>3.5080134178158779</v>
      </c>
      <c r="K45" s="6">
        <v>5.8505050505050509</v>
      </c>
      <c r="L45" s="6">
        <v>4.4672267312164795</v>
      </c>
    </row>
    <row r="46" spans="1:12" x14ac:dyDescent="0.25">
      <c r="A46" s="2" t="s">
        <v>1076</v>
      </c>
      <c r="B46" s="2" t="s">
        <v>1077</v>
      </c>
      <c r="C46" s="4">
        <v>43.8</v>
      </c>
      <c r="D46" s="5">
        <v>0</v>
      </c>
      <c r="E46" s="5">
        <v>317634.4375</v>
      </c>
      <c r="F46" s="5">
        <v>0</v>
      </c>
      <c r="G46" s="3"/>
      <c r="H46" s="3">
        <v>2</v>
      </c>
      <c r="I46" s="3"/>
      <c r="J46" s="6" t="s">
        <v>986</v>
      </c>
      <c r="K46" s="6">
        <v>1.9501683501683502</v>
      </c>
      <c r="L46" s="6" t="s">
        <v>986</v>
      </c>
    </row>
    <row r="47" spans="1:12" x14ac:dyDescent="0.25">
      <c r="A47" s="2" t="s">
        <v>1078</v>
      </c>
      <c r="B47" s="2" t="s">
        <v>1034</v>
      </c>
      <c r="C47" s="4">
        <v>46.5</v>
      </c>
      <c r="D47" s="5">
        <v>0</v>
      </c>
      <c r="E47" s="5">
        <v>1693084.625</v>
      </c>
      <c r="F47" s="5">
        <v>2101645.5625</v>
      </c>
      <c r="G47" s="3"/>
      <c r="H47" s="3">
        <v>6</v>
      </c>
      <c r="I47" s="3">
        <v>5</v>
      </c>
      <c r="J47" s="6" t="s">
        <v>986</v>
      </c>
      <c r="K47" s="6">
        <v>5.8505050505050509</v>
      </c>
      <c r="L47" s="6">
        <v>4.4672267312164795</v>
      </c>
    </row>
    <row r="48" spans="1:12" x14ac:dyDescent="0.25">
      <c r="A48" s="2" t="s">
        <v>1079</v>
      </c>
      <c r="B48" s="2" t="s">
        <v>1080</v>
      </c>
      <c r="C48" s="4">
        <v>57.4</v>
      </c>
      <c r="D48" s="5">
        <v>1849541.84375</v>
      </c>
      <c r="E48" s="5">
        <v>1221201.25</v>
      </c>
      <c r="F48" s="5">
        <v>1297066.25</v>
      </c>
      <c r="G48" s="3">
        <v>5</v>
      </c>
      <c r="H48" s="3">
        <v>3</v>
      </c>
      <c r="I48" s="3">
        <v>5</v>
      </c>
      <c r="J48" s="6">
        <v>5.8466890296931293</v>
      </c>
      <c r="K48" s="6">
        <v>2.9252525252525254</v>
      </c>
      <c r="L48" s="6">
        <v>4.4672267312164795</v>
      </c>
    </row>
    <row r="49" spans="1:12" x14ac:dyDescent="0.25">
      <c r="A49" s="2" t="s">
        <v>1081</v>
      </c>
      <c r="B49" s="2" t="s">
        <v>1082</v>
      </c>
      <c r="C49" s="4">
        <v>130.19999999999999</v>
      </c>
      <c r="D49" s="5">
        <v>1076416.09375</v>
      </c>
      <c r="E49" s="5">
        <v>1851187.0625</v>
      </c>
      <c r="F49" s="5">
        <v>5006266.375</v>
      </c>
      <c r="G49" s="3">
        <v>3</v>
      </c>
      <c r="H49" s="3">
        <v>6</v>
      </c>
      <c r="I49" s="3">
        <v>11</v>
      </c>
      <c r="J49" s="6">
        <v>3.5080134178158779</v>
      </c>
      <c r="K49" s="6">
        <v>5.8505050505050509</v>
      </c>
      <c r="L49" s="6">
        <v>9.8278988086762542</v>
      </c>
    </row>
    <row r="50" spans="1:12" x14ac:dyDescent="0.25">
      <c r="A50" s="2" t="s">
        <v>1083</v>
      </c>
      <c r="B50" s="2" t="s">
        <v>1084</v>
      </c>
      <c r="C50" s="4">
        <v>26.2</v>
      </c>
      <c r="D50" s="5">
        <v>57846.37109375</v>
      </c>
      <c r="E50" s="5">
        <v>1208526.3125</v>
      </c>
      <c r="F50" s="5">
        <v>1355142.375</v>
      </c>
      <c r="G50" s="3">
        <v>7</v>
      </c>
      <c r="H50" s="3">
        <v>12</v>
      </c>
      <c r="I50" s="3">
        <v>12</v>
      </c>
      <c r="J50" s="6">
        <v>8.1853646415703807</v>
      </c>
      <c r="K50" s="6">
        <v>11.701010101010102</v>
      </c>
      <c r="L50" s="6">
        <v>10.721344154919551</v>
      </c>
    </row>
    <row r="51" spans="1:12" x14ac:dyDescent="0.25">
      <c r="A51" s="2" t="s">
        <v>1085</v>
      </c>
      <c r="B51" s="2" t="s">
        <v>1086</v>
      </c>
      <c r="C51" s="4">
        <v>42.8</v>
      </c>
      <c r="D51" s="5">
        <v>1996960.3359375</v>
      </c>
      <c r="E51" s="5">
        <v>1866902.96875</v>
      </c>
      <c r="F51" s="5">
        <v>1092394.984375</v>
      </c>
      <c r="G51" s="3">
        <v>26</v>
      </c>
      <c r="H51" s="3">
        <v>22</v>
      </c>
      <c r="I51" s="3">
        <v>21</v>
      </c>
      <c r="J51" s="6">
        <v>30.402782954404277</v>
      </c>
      <c r="K51" s="6">
        <v>21.451851851851853</v>
      </c>
      <c r="L51" s="6">
        <v>18.762352271109215</v>
      </c>
    </row>
    <row r="52" spans="1:12" x14ac:dyDescent="0.25">
      <c r="A52" s="2" t="s">
        <v>1087</v>
      </c>
      <c r="B52" s="2" t="s">
        <v>1088</v>
      </c>
      <c r="C52" s="4">
        <v>30.7</v>
      </c>
      <c r="D52" s="5">
        <v>1449200.15625</v>
      </c>
      <c r="E52" s="5">
        <v>1228186.25</v>
      </c>
      <c r="F52" s="5">
        <v>0</v>
      </c>
      <c r="G52" s="3">
        <v>3</v>
      </c>
      <c r="H52" s="3">
        <v>3</v>
      </c>
      <c r="I52" s="3"/>
      <c r="J52" s="6">
        <v>3.5080134178158779</v>
      </c>
      <c r="K52" s="6">
        <v>2.9252525252525254</v>
      </c>
      <c r="L52" s="6" t="s">
        <v>986</v>
      </c>
    </row>
    <row r="53" spans="1:12" x14ac:dyDescent="0.25">
      <c r="A53" s="2" t="s">
        <v>1089</v>
      </c>
      <c r="B53" s="2" t="s">
        <v>1090</v>
      </c>
      <c r="C53" s="4">
        <v>53.9</v>
      </c>
      <c r="D53" s="5">
        <v>0</v>
      </c>
      <c r="E53" s="5">
        <v>0</v>
      </c>
      <c r="F53" s="5">
        <v>0</v>
      </c>
      <c r="G53" s="3"/>
      <c r="H53" s="3">
        <v>10</v>
      </c>
      <c r="I53" s="3">
        <v>13</v>
      </c>
      <c r="J53" s="6" t="s">
        <v>986</v>
      </c>
      <c r="K53" s="6">
        <v>9.7508417508417509</v>
      </c>
      <c r="L53" s="6">
        <v>11.614789501162846</v>
      </c>
    </row>
    <row r="54" spans="1:12" x14ac:dyDescent="0.25">
      <c r="A54" s="2" t="s">
        <v>1091</v>
      </c>
      <c r="B54" s="2" t="s">
        <v>1054</v>
      </c>
      <c r="C54" s="4">
        <v>27.4</v>
      </c>
      <c r="D54" s="5">
        <v>15974619.09375</v>
      </c>
      <c r="E54" s="5">
        <v>21289036.25</v>
      </c>
      <c r="F54" s="5">
        <v>23120702.515625</v>
      </c>
      <c r="G54" s="3">
        <v>14</v>
      </c>
      <c r="H54" s="3">
        <v>14</v>
      </c>
      <c r="I54" s="3">
        <v>14</v>
      </c>
      <c r="J54" s="6">
        <v>16.370729283140761</v>
      </c>
      <c r="K54" s="6">
        <v>13.651178451178453</v>
      </c>
      <c r="L54" s="6">
        <v>12.508234847406143</v>
      </c>
    </row>
    <row r="55" spans="1:12" x14ac:dyDescent="0.25">
      <c r="A55" s="2" t="s">
        <v>1092</v>
      </c>
      <c r="B55" s="2" t="s">
        <v>1073</v>
      </c>
      <c r="C55" s="4">
        <v>30.6</v>
      </c>
      <c r="D55" s="5">
        <v>317387.5</v>
      </c>
      <c r="E55" s="5">
        <v>426144.40625</v>
      </c>
      <c r="F55" s="5">
        <v>1009501.875</v>
      </c>
      <c r="G55" s="3">
        <v>18</v>
      </c>
      <c r="H55" s="3">
        <v>19</v>
      </c>
      <c r="I55" s="3">
        <v>20</v>
      </c>
      <c r="J55" s="6">
        <v>21.048080506895268</v>
      </c>
      <c r="K55" s="6">
        <v>18.526599326599328</v>
      </c>
      <c r="L55" s="6">
        <v>17.868906924865918</v>
      </c>
    </row>
    <row r="56" spans="1:12" x14ac:dyDescent="0.25">
      <c r="A56" s="2" t="s">
        <v>1093</v>
      </c>
      <c r="B56" s="2" t="s">
        <v>1094</v>
      </c>
      <c r="C56" s="4">
        <v>20.8</v>
      </c>
      <c r="D56" s="5">
        <v>11650367.890625</v>
      </c>
      <c r="E56" s="5">
        <v>13518016.9375</v>
      </c>
      <c r="F56" s="5">
        <v>13728980.3125</v>
      </c>
      <c r="G56" s="3">
        <v>14</v>
      </c>
      <c r="H56" s="3">
        <v>11</v>
      </c>
      <c r="I56" s="3">
        <v>11</v>
      </c>
      <c r="J56" s="6">
        <v>16.370729283140761</v>
      </c>
      <c r="K56" s="6">
        <v>10.725925925925926</v>
      </c>
      <c r="L56" s="6">
        <v>9.8278988086762542</v>
      </c>
    </row>
    <row r="57" spans="1:12" x14ac:dyDescent="0.25">
      <c r="A57" s="2" t="s">
        <v>1095</v>
      </c>
      <c r="B57" s="2" t="s">
        <v>1096</v>
      </c>
      <c r="C57" s="4">
        <v>79.599999999999994</v>
      </c>
      <c r="D57" s="5">
        <v>1385336.703125</v>
      </c>
      <c r="E57" s="5">
        <v>11112219.84375</v>
      </c>
      <c r="F57" s="5">
        <v>1498922.25</v>
      </c>
      <c r="G57" s="3">
        <v>15</v>
      </c>
      <c r="H57" s="3">
        <v>18</v>
      </c>
      <c r="I57" s="3">
        <v>16</v>
      </c>
      <c r="J57" s="6">
        <v>17.54006708907939</v>
      </c>
      <c r="K57" s="6">
        <v>17.551515151515151</v>
      </c>
      <c r="L57" s="6">
        <v>14.295125539892735</v>
      </c>
    </row>
    <row r="58" spans="1:12" x14ac:dyDescent="0.25">
      <c r="A58" s="2" t="s">
        <v>1097</v>
      </c>
      <c r="B58" s="2" t="s">
        <v>1098</v>
      </c>
      <c r="C58" s="4">
        <v>10.199999999999999</v>
      </c>
      <c r="D58" s="5">
        <v>0</v>
      </c>
      <c r="E58" s="5">
        <v>2031912.625</v>
      </c>
      <c r="F58" s="5">
        <v>4463476.3125</v>
      </c>
      <c r="G58" s="3"/>
      <c r="H58" s="3">
        <v>3</v>
      </c>
      <c r="I58" s="3">
        <v>5</v>
      </c>
      <c r="J58" s="6" t="s">
        <v>986</v>
      </c>
      <c r="K58" s="6">
        <v>2.9252525252525254</v>
      </c>
      <c r="L58" s="6">
        <v>4.4672267312164795</v>
      </c>
    </row>
    <row r="59" spans="1:12" x14ac:dyDescent="0.25">
      <c r="A59" s="2" t="s">
        <v>1099</v>
      </c>
      <c r="B59" s="2" t="s">
        <v>1100</v>
      </c>
      <c r="C59" s="4">
        <v>41.4</v>
      </c>
      <c r="D59" s="5">
        <v>2123436.28125</v>
      </c>
      <c r="E59" s="5">
        <v>2594126.015625</v>
      </c>
      <c r="F59" s="5">
        <v>2259391.625</v>
      </c>
      <c r="G59" s="3">
        <v>8</v>
      </c>
      <c r="H59" s="3">
        <v>5</v>
      </c>
      <c r="I59" s="3">
        <v>9</v>
      </c>
      <c r="J59" s="6">
        <v>9.3547024475090073</v>
      </c>
      <c r="K59" s="6">
        <v>4.8754208754208754</v>
      </c>
      <c r="L59" s="6">
        <v>8.0410081161896638</v>
      </c>
    </row>
    <row r="60" spans="1:12" x14ac:dyDescent="0.25">
      <c r="A60" s="2" t="s">
        <v>1101</v>
      </c>
      <c r="B60" s="2" t="s">
        <v>1102</v>
      </c>
      <c r="C60" s="4">
        <v>16.8</v>
      </c>
      <c r="D60" s="5">
        <v>954859.875</v>
      </c>
      <c r="E60" s="5">
        <v>1481192.5</v>
      </c>
      <c r="F60" s="5">
        <v>1454887.28125</v>
      </c>
      <c r="G60" s="3">
        <v>4</v>
      </c>
      <c r="H60" s="3">
        <v>4</v>
      </c>
      <c r="I60" s="3">
        <v>5</v>
      </c>
      <c r="J60" s="6">
        <v>4.6773512237545036</v>
      </c>
      <c r="K60" s="6">
        <v>3.9003367003367004</v>
      </c>
      <c r="L60" s="6">
        <v>4.4672267312164795</v>
      </c>
    </row>
    <row r="61" spans="1:12" x14ac:dyDescent="0.25">
      <c r="A61" s="2" t="s">
        <v>1103</v>
      </c>
      <c r="B61" s="2" t="s">
        <v>1104</v>
      </c>
      <c r="C61" s="4">
        <v>60.5</v>
      </c>
      <c r="D61" s="5">
        <v>4198469.03125</v>
      </c>
      <c r="E61" s="5">
        <v>4978611.859375</v>
      </c>
      <c r="F61" s="5">
        <v>5366464.625</v>
      </c>
      <c r="G61" s="3">
        <v>12</v>
      </c>
      <c r="H61" s="3">
        <v>12</v>
      </c>
      <c r="I61" s="3">
        <v>10</v>
      </c>
      <c r="J61" s="6">
        <v>14.032053671263512</v>
      </c>
      <c r="K61" s="6">
        <v>11.701010101010102</v>
      </c>
      <c r="L61" s="6">
        <v>8.934453462432959</v>
      </c>
    </row>
    <row r="62" spans="1:12" x14ac:dyDescent="0.25">
      <c r="A62" s="2" t="s">
        <v>1105</v>
      </c>
      <c r="B62" s="2" t="s">
        <v>1106</v>
      </c>
      <c r="C62" s="4">
        <v>44.8</v>
      </c>
      <c r="D62" s="5">
        <v>13721475.875</v>
      </c>
      <c r="E62" s="5">
        <v>13393323.84375</v>
      </c>
      <c r="F62" s="5">
        <v>7531628.046875</v>
      </c>
      <c r="G62" s="3">
        <v>29</v>
      </c>
      <c r="H62" s="3">
        <v>24</v>
      </c>
      <c r="I62" s="3">
        <v>18</v>
      </c>
      <c r="J62" s="6">
        <v>33.910796372220155</v>
      </c>
      <c r="K62" s="6">
        <v>23.402020202020203</v>
      </c>
      <c r="L62" s="6">
        <v>16.082016232379328</v>
      </c>
    </row>
    <row r="63" spans="1:12" x14ac:dyDescent="0.25">
      <c r="A63" s="2" t="s">
        <v>1107</v>
      </c>
      <c r="B63" s="2" t="s">
        <v>1108</v>
      </c>
      <c r="C63" s="4">
        <v>32.1</v>
      </c>
      <c r="D63" s="5">
        <v>0</v>
      </c>
      <c r="E63" s="5">
        <v>2441204.1875</v>
      </c>
      <c r="F63" s="5">
        <v>3165894.375</v>
      </c>
      <c r="G63" s="3"/>
      <c r="H63" s="3">
        <v>6</v>
      </c>
      <c r="I63" s="3">
        <v>5</v>
      </c>
      <c r="J63" s="6" t="s">
        <v>986</v>
      </c>
      <c r="K63" s="6">
        <v>5.8505050505050509</v>
      </c>
      <c r="L63" s="6">
        <v>4.4672267312164795</v>
      </c>
    </row>
    <row r="64" spans="1:12" x14ac:dyDescent="0.25">
      <c r="A64" s="2" t="s">
        <v>1109</v>
      </c>
      <c r="B64" s="2" t="s">
        <v>1025</v>
      </c>
      <c r="C64" s="4">
        <v>30.4</v>
      </c>
      <c r="D64" s="5">
        <v>9751755.25</v>
      </c>
      <c r="E64" s="5">
        <v>13032120.84375</v>
      </c>
      <c r="F64" s="5">
        <v>24988387.75</v>
      </c>
      <c r="G64" s="3">
        <v>9</v>
      </c>
      <c r="H64" s="3">
        <v>10</v>
      </c>
      <c r="I64" s="3">
        <v>14</v>
      </c>
      <c r="J64" s="6">
        <v>10.524040253447634</v>
      </c>
      <c r="K64" s="6">
        <v>9.7508417508417509</v>
      </c>
      <c r="L64" s="6">
        <v>12.508234847406143</v>
      </c>
    </row>
    <row r="65" spans="1:12" x14ac:dyDescent="0.25">
      <c r="A65" s="2" t="s">
        <v>1110</v>
      </c>
      <c r="B65" s="2" t="s">
        <v>1086</v>
      </c>
      <c r="C65" s="4">
        <v>38.4</v>
      </c>
      <c r="D65" s="5">
        <v>3265877.390625</v>
      </c>
      <c r="E65" s="5">
        <v>2921613.3125</v>
      </c>
      <c r="F65" s="5">
        <v>0</v>
      </c>
      <c r="G65" s="3">
        <v>12</v>
      </c>
      <c r="H65" s="3">
        <v>9</v>
      </c>
      <c r="I65" s="3"/>
      <c r="J65" s="6">
        <v>14.032053671263512</v>
      </c>
      <c r="K65" s="6">
        <v>8.7757575757575754</v>
      </c>
      <c r="L65" s="6" t="s">
        <v>986</v>
      </c>
    </row>
    <row r="66" spans="1:12" x14ac:dyDescent="0.25">
      <c r="A66" s="2" t="s">
        <v>1111</v>
      </c>
      <c r="B66" s="2" t="s">
        <v>1112</v>
      </c>
      <c r="C66" s="4">
        <v>46.4</v>
      </c>
      <c r="D66" s="5">
        <v>362591.5</v>
      </c>
      <c r="E66" s="5">
        <v>1875546.84375</v>
      </c>
      <c r="F66" s="5">
        <v>1107900.03125</v>
      </c>
      <c r="G66" s="3">
        <v>8</v>
      </c>
      <c r="H66" s="3">
        <v>5</v>
      </c>
      <c r="I66" s="3">
        <v>8</v>
      </c>
      <c r="J66" s="6">
        <v>9.3547024475090073</v>
      </c>
      <c r="K66" s="6">
        <v>4.8754208754208754</v>
      </c>
      <c r="L66" s="6">
        <v>7.1475627699463677</v>
      </c>
    </row>
    <row r="67" spans="1:12" x14ac:dyDescent="0.25">
      <c r="A67" s="2" t="s">
        <v>1113</v>
      </c>
      <c r="B67" s="2" t="s">
        <v>1046</v>
      </c>
      <c r="C67" s="4">
        <v>27.3</v>
      </c>
      <c r="D67" s="5">
        <v>3737540.078125</v>
      </c>
      <c r="E67" s="5">
        <v>2556127.6875</v>
      </c>
      <c r="F67" s="5">
        <v>4937611.625</v>
      </c>
      <c r="G67" s="3">
        <v>13</v>
      </c>
      <c r="H67" s="3">
        <v>15</v>
      </c>
      <c r="I67" s="3">
        <v>13</v>
      </c>
      <c r="J67" s="6">
        <v>15.201391477202138</v>
      </c>
      <c r="K67" s="6">
        <v>14.626262626262626</v>
      </c>
      <c r="L67" s="6">
        <v>11.614789501162846</v>
      </c>
    </row>
    <row r="68" spans="1:12" x14ac:dyDescent="0.25">
      <c r="A68" s="2" t="s">
        <v>1114</v>
      </c>
      <c r="B68" s="2" t="s">
        <v>1115</v>
      </c>
      <c r="C68" s="4">
        <v>38.799999999999997</v>
      </c>
      <c r="D68" s="5">
        <v>577214.875</v>
      </c>
      <c r="E68" s="5">
        <v>1868657.375</v>
      </c>
      <c r="F68" s="5">
        <v>401052.3125</v>
      </c>
      <c r="G68" s="3">
        <v>3</v>
      </c>
      <c r="H68" s="3">
        <v>3</v>
      </c>
      <c r="I68" s="3">
        <v>4</v>
      </c>
      <c r="J68" s="6">
        <v>3.5080134178158779</v>
      </c>
      <c r="K68" s="6">
        <v>2.9252525252525254</v>
      </c>
      <c r="L68" s="6">
        <v>3.5737813849731839</v>
      </c>
    </row>
    <row r="69" spans="1:12" x14ac:dyDescent="0.25">
      <c r="A69" s="2" t="s">
        <v>1116</v>
      </c>
      <c r="B69" s="2" t="s">
        <v>1117</v>
      </c>
      <c r="C69" s="4">
        <v>13.8</v>
      </c>
      <c r="D69" s="5">
        <v>628903.578125</v>
      </c>
      <c r="E69" s="5">
        <v>3476803.75</v>
      </c>
      <c r="F69" s="5">
        <v>0</v>
      </c>
      <c r="G69" s="3">
        <v>3</v>
      </c>
      <c r="H69" s="3">
        <v>3</v>
      </c>
      <c r="I69" s="3"/>
      <c r="J69" s="6">
        <v>3.5080134178158779</v>
      </c>
      <c r="K69" s="6">
        <v>2.9252525252525254</v>
      </c>
      <c r="L69" s="6" t="s">
        <v>986</v>
      </c>
    </row>
    <row r="70" spans="1:12" x14ac:dyDescent="0.25">
      <c r="A70" s="2" t="s">
        <v>1118</v>
      </c>
      <c r="B70" s="2" t="s">
        <v>1119</v>
      </c>
      <c r="C70" s="4">
        <v>52.8</v>
      </c>
      <c r="D70" s="5">
        <v>479781.0703125</v>
      </c>
      <c r="E70" s="5">
        <v>1078637.0625</v>
      </c>
      <c r="F70" s="5">
        <v>674413.75</v>
      </c>
      <c r="G70" s="3">
        <v>7</v>
      </c>
      <c r="H70" s="3">
        <v>13</v>
      </c>
      <c r="I70" s="3">
        <v>13</v>
      </c>
      <c r="J70" s="6">
        <v>8.1853646415703807</v>
      </c>
      <c r="K70" s="6">
        <v>12.676094276094277</v>
      </c>
      <c r="L70" s="6">
        <v>11.614789501162846</v>
      </c>
    </row>
    <row r="71" spans="1:12" x14ac:dyDescent="0.25">
      <c r="A71" s="2" t="s">
        <v>1120</v>
      </c>
      <c r="B71" s="2" t="s">
        <v>1067</v>
      </c>
      <c r="C71" s="4">
        <v>16.399999999999999</v>
      </c>
      <c r="D71" s="5">
        <v>0</v>
      </c>
      <c r="E71" s="5">
        <v>436743.25</v>
      </c>
      <c r="F71" s="5">
        <v>0</v>
      </c>
      <c r="G71" s="3"/>
      <c r="H71" s="3">
        <v>6</v>
      </c>
      <c r="I71" s="3"/>
      <c r="J71" s="6" t="s">
        <v>986</v>
      </c>
      <c r="K71" s="6">
        <v>5.8505050505050509</v>
      </c>
      <c r="L71" s="6" t="s">
        <v>986</v>
      </c>
    </row>
    <row r="72" spans="1:12" x14ac:dyDescent="0.25">
      <c r="A72" s="2" t="s">
        <v>1121</v>
      </c>
      <c r="B72" s="2" t="s">
        <v>1122</v>
      </c>
      <c r="C72" s="4">
        <v>22.8</v>
      </c>
      <c r="D72" s="5">
        <v>1267122.15625</v>
      </c>
      <c r="E72" s="5">
        <v>1952251.625</v>
      </c>
      <c r="F72" s="5">
        <v>3886466.0625</v>
      </c>
      <c r="G72" s="3">
        <v>9</v>
      </c>
      <c r="H72" s="3">
        <v>7</v>
      </c>
      <c r="I72" s="3">
        <v>8</v>
      </c>
      <c r="J72" s="6">
        <v>10.524040253447634</v>
      </c>
      <c r="K72" s="6">
        <v>6.8255892255892263</v>
      </c>
      <c r="L72" s="6">
        <v>7.1475627699463677</v>
      </c>
    </row>
    <row r="73" spans="1:12" x14ac:dyDescent="0.25">
      <c r="A73" s="2" t="s">
        <v>1123</v>
      </c>
      <c r="B73" s="2" t="s">
        <v>1084</v>
      </c>
      <c r="C73" s="4">
        <v>26.1</v>
      </c>
      <c r="D73" s="5">
        <v>0</v>
      </c>
      <c r="E73" s="5">
        <v>984131.03125</v>
      </c>
      <c r="F73" s="5">
        <v>1505676</v>
      </c>
      <c r="G73" s="3"/>
      <c r="H73" s="3">
        <v>13</v>
      </c>
      <c r="I73" s="3">
        <v>11</v>
      </c>
      <c r="J73" s="6" t="s">
        <v>986</v>
      </c>
      <c r="K73" s="6">
        <v>12.676094276094277</v>
      </c>
      <c r="L73" s="6">
        <v>9.8278988086762542</v>
      </c>
    </row>
    <row r="74" spans="1:12" x14ac:dyDescent="0.25">
      <c r="A74" s="2" t="s">
        <v>1124</v>
      </c>
      <c r="B74" s="2" t="s">
        <v>1122</v>
      </c>
      <c r="C74" s="4">
        <v>29.6</v>
      </c>
      <c r="D74" s="5">
        <v>3866982.90625</v>
      </c>
      <c r="E74" s="5">
        <v>10767354.09375</v>
      </c>
      <c r="F74" s="5">
        <v>8968865.625</v>
      </c>
      <c r="G74" s="3">
        <v>10</v>
      </c>
      <c r="H74" s="3">
        <v>14</v>
      </c>
      <c r="I74" s="3">
        <v>12</v>
      </c>
      <c r="J74" s="6">
        <v>11.693378059386259</v>
      </c>
      <c r="K74" s="6">
        <v>13.651178451178453</v>
      </c>
      <c r="L74" s="6">
        <v>10.721344154919551</v>
      </c>
    </row>
    <row r="75" spans="1:12" x14ac:dyDescent="0.25">
      <c r="A75" s="2" t="s">
        <v>1125</v>
      </c>
      <c r="B75" s="2" t="s">
        <v>1126</v>
      </c>
      <c r="C75" s="4">
        <v>42.7</v>
      </c>
      <c r="D75" s="5">
        <v>479567.984375</v>
      </c>
      <c r="E75" s="5">
        <v>2165533.15625</v>
      </c>
      <c r="F75" s="5">
        <v>3837286.875</v>
      </c>
      <c r="G75" s="3">
        <v>4</v>
      </c>
      <c r="H75" s="3">
        <v>8</v>
      </c>
      <c r="I75" s="3">
        <v>9</v>
      </c>
      <c r="J75" s="6">
        <v>4.6773512237545036</v>
      </c>
      <c r="K75" s="6">
        <v>7.8006734006734009</v>
      </c>
      <c r="L75" s="6">
        <v>8.0410081161896638</v>
      </c>
    </row>
    <row r="76" spans="1:12" x14ac:dyDescent="0.25">
      <c r="A76" s="2" t="s">
        <v>1127</v>
      </c>
      <c r="B76" s="2" t="s">
        <v>1056</v>
      </c>
      <c r="C76" s="4">
        <v>62.8</v>
      </c>
      <c r="D76" s="5">
        <v>5135685.75</v>
      </c>
      <c r="E76" s="5">
        <v>7348509.25</v>
      </c>
      <c r="F76" s="5">
        <v>6004694.25</v>
      </c>
      <c r="G76" s="3">
        <v>18</v>
      </c>
      <c r="H76" s="3">
        <v>18</v>
      </c>
      <c r="I76" s="3">
        <v>19</v>
      </c>
      <c r="J76" s="6">
        <v>21.048080506895268</v>
      </c>
      <c r="K76" s="6">
        <v>17.551515151515151</v>
      </c>
      <c r="L76" s="6">
        <v>16.975461578622621</v>
      </c>
    </row>
    <row r="77" spans="1:12" x14ac:dyDescent="0.25">
      <c r="A77" s="2" t="s">
        <v>1128</v>
      </c>
      <c r="B77" s="2" t="s">
        <v>1129</v>
      </c>
      <c r="C77" s="4">
        <v>31.8</v>
      </c>
      <c r="D77" s="5">
        <v>10380882.0625</v>
      </c>
      <c r="E77" s="5">
        <v>8474242.5</v>
      </c>
      <c r="F77" s="5">
        <v>7005701.5</v>
      </c>
      <c r="G77" s="3">
        <v>23</v>
      </c>
      <c r="H77" s="3">
        <v>18</v>
      </c>
      <c r="I77" s="3">
        <v>13</v>
      </c>
      <c r="J77" s="6">
        <v>26.894769536588395</v>
      </c>
      <c r="K77" s="6">
        <v>17.551515151515151</v>
      </c>
      <c r="L77" s="6">
        <v>11.614789501162846</v>
      </c>
    </row>
    <row r="78" spans="1:12" x14ac:dyDescent="0.25">
      <c r="A78" s="2" t="s">
        <v>1130</v>
      </c>
      <c r="B78" s="2" t="s">
        <v>1029</v>
      </c>
      <c r="C78" s="4">
        <v>56.8</v>
      </c>
      <c r="D78" s="5">
        <v>1053152.6875</v>
      </c>
      <c r="E78" s="5">
        <v>1026965.15625</v>
      </c>
      <c r="F78" s="5">
        <v>0</v>
      </c>
      <c r="G78" s="3">
        <v>5</v>
      </c>
      <c r="H78" s="3">
        <v>4</v>
      </c>
      <c r="I78" s="3"/>
      <c r="J78" s="6">
        <v>5.8466890296931293</v>
      </c>
      <c r="K78" s="6">
        <v>3.9003367003367004</v>
      </c>
      <c r="L78" s="6" t="s">
        <v>986</v>
      </c>
    </row>
    <row r="79" spans="1:12" x14ac:dyDescent="0.25">
      <c r="A79" s="2" t="s">
        <v>1131</v>
      </c>
      <c r="B79" s="2" t="s">
        <v>1009</v>
      </c>
      <c r="C79" s="4">
        <v>47.4</v>
      </c>
      <c r="D79" s="5">
        <v>2319779.4375</v>
      </c>
      <c r="E79" s="5">
        <v>1415936.96875</v>
      </c>
      <c r="F79" s="5">
        <v>0</v>
      </c>
      <c r="G79" s="3">
        <v>7</v>
      </c>
      <c r="H79" s="3">
        <v>2</v>
      </c>
      <c r="I79" s="3"/>
      <c r="J79" s="6">
        <v>8.1853646415703807</v>
      </c>
      <c r="K79" s="6">
        <v>1.9501683501683502</v>
      </c>
      <c r="L79" s="6" t="s">
        <v>986</v>
      </c>
    </row>
    <row r="80" spans="1:12" x14ac:dyDescent="0.25">
      <c r="A80" s="2" t="s">
        <v>1132</v>
      </c>
      <c r="B80" s="2" t="s">
        <v>1025</v>
      </c>
      <c r="C80" s="4">
        <v>14.9</v>
      </c>
      <c r="D80" s="5">
        <v>6744650.09375</v>
      </c>
      <c r="E80" s="5">
        <v>6341038.828125</v>
      </c>
      <c r="F80" s="5">
        <v>8593985.75</v>
      </c>
      <c r="G80" s="3">
        <v>8</v>
      </c>
      <c r="H80" s="3">
        <v>6</v>
      </c>
      <c r="I80" s="3">
        <v>6</v>
      </c>
      <c r="J80" s="6">
        <v>9.3547024475090073</v>
      </c>
      <c r="K80" s="6">
        <v>5.8505050505050509</v>
      </c>
      <c r="L80" s="6">
        <v>5.3606720774597756</v>
      </c>
    </row>
    <row r="81" spans="1:12" x14ac:dyDescent="0.25">
      <c r="A81" s="2" t="s">
        <v>1133</v>
      </c>
      <c r="B81" s="2" t="s">
        <v>1134</v>
      </c>
      <c r="C81" s="4">
        <v>13.8</v>
      </c>
      <c r="D81" s="5">
        <v>0</v>
      </c>
      <c r="E81" s="5">
        <v>0</v>
      </c>
      <c r="F81" s="5">
        <v>5822119</v>
      </c>
      <c r="G81" s="3"/>
      <c r="H81" s="3">
        <v>2</v>
      </c>
      <c r="I81" s="3">
        <v>4</v>
      </c>
      <c r="J81" s="6" t="s">
        <v>986</v>
      </c>
      <c r="K81" s="6">
        <v>1.9501683501683502</v>
      </c>
      <c r="L81" s="6">
        <v>3.5737813849731839</v>
      </c>
    </row>
    <row r="82" spans="1:12" x14ac:dyDescent="0.25">
      <c r="A82" s="2" t="s">
        <v>1135</v>
      </c>
      <c r="B82" s="2" t="s">
        <v>1136</v>
      </c>
      <c r="C82" s="4">
        <v>82.4</v>
      </c>
      <c r="D82" s="5">
        <v>375062.4296875</v>
      </c>
      <c r="E82" s="5">
        <v>282514.5625</v>
      </c>
      <c r="F82" s="5">
        <v>458629.15625</v>
      </c>
      <c r="G82" s="3">
        <v>4</v>
      </c>
      <c r="H82" s="3">
        <v>3</v>
      </c>
      <c r="I82" s="3">
        <v>2</v>
      </c>
      <c r="J82" s="6">
        <v>4.6773512237545036</v>
      </c>
      <c r="K82" s="6">
        <v>2.9252525252525254</v>
      </c>
      <c r="L82" s="6">
        <v>1.7868906924865919</v>
      </c>
    </row>
    <row r="83" spans="1:12" x14ac:dyDescent="0.25">
      <c r="A83" s="2" t="s">
        <v>1137</v>
      </c>
      <c r="B83" s="2" t="s">
        <v>1056</v>
      </c>
      <c r="C83" s="4">
        <v>62.3</v>
      </c>
      <c r="D83" s="5">
        <v>3102462.6875</v>
      </c>
      <c r="E83" s="5">
        <v>4692723.5</v>
      </c>
      <c r="F83" s="5">
        <v>3280755.3125</v>
      </c>
      <c r="G83" s="3">
        <v>12</v>
      </c>
      <c r="H83" s="3">
        <v>12</v>
      </c>
      <c r="I83" s="3">
        <v>12</v>
      </c>
      <c r="J83" s="6">
        <v>14.032053671263512</v>
      </c>
      <c r="K83" s="6">
        <v>11.701010101010102</v>
      </c>
      <c r="L83" s="6">
        <v>10.721344154919551</v>
      </c>
    </row>
    <row r="84" spans="1:12" x14ac:dyDescent="0.25">
      <c r="A84" s="2" t="s">
        <v>1138</v>
      </c>
      <c r="B84" s="2" t="s">
        <v>1139</v>
      </c>
      <c r="C84" s="4">
        <v>34.4</v>
      </c>
      <c r="D84" s="5">
        <v>0</v>
      </c>
      <c r="E84" s="5">
        <v>284461.90625</v>
      </c>
      <c r="F84" s="5">
        <v>1301248.8125</v>
      </c>
      <c r="G84" s="3"/>
      <c r="H84" s="3">
        <v>3</v>
      </c>
      <c r="I84" s="3">
        <v>4</v>
      </c>
      <c r="J84" s="6" t="s">
        <v>986</v>
      </c>
      <c r="K84" s="6">
        <v>2.9252525252525254</v>
      </c>
      <c r="L84" s="6">
        <v>3.5737813849731839</v>
      </c>
    </row>
    <row r="85" spans="1:12" x14ac:dyDescent="0.25">
      <c r="A85" s="2" t="s">
        <v>1140</v>
      </c>
      <c r="B85" s="2" t="s">
        <v>1141</v>
      </c>
      <c r="C85" s="4">
        <v>23.2</v>
      </c>
      <c r="D85" s="5">
        <v>1617036.4375</v>
      </c>
      <c r="E85" s="5">
        <v>4482375.390625</v>
      </c>
      <c r="F85" s="5">
        <v>10463933.625</v>
      </c>
      <c r="G85" s="3">
        <v>4</v>
      </c>
      <c r="H85" s="3">
        <v>6</v>
      </c>
      <c r="I85" s="3">
        <v>9</v>
      </c>
      <c r="J85" s="6">
        <v>4.6773512237545036</v>
      </c>
      <c r="K85" s="6">
        <v>5.8505050505050509</v>
      </c>
      <c r="L85" s="6">
        <v>8.0410081161896638</v>
      </c>
    </row>
    <row r="86" spans="1:12" x14ac:dyDescent="0.25">
      <c r="A86" s="2" t="s">
        <v>1142</v>
      </c>
      <c r="B86" s="2" t="s">
        <v>1143</v>
      </c>
      <c r="C86" s="4">
        <v>41.7</v>
      </c>
      <c r="D86" s="5">
        <v>2788682.94921875</v>
      </c>
      <c r="E86" s="5">
        <v>2540194.359375</v>
      </c>
      <c r="F86" s="5">
        <v>5770488.9375</v>
      </c>
      <c r="G86" s="3">
        <v>11</v>
      </c>
      <c r="H86" s="3">
        <v>7</v>
      </c>
      <c r="I86" s="3">
        <v>9</v>
      </c>
      <c r="J86" s="6">
        <v>12.862715865324887</v>
      </c>
      <c r="K86" s="6">
        <v>6.8255892255892263</v>
      </c>
      <c r="L86" s="6">
        <v>8.0410081161896638</v>
      </c>
    </row>
    <row r="87" spans="1:12" x14ac:dyDescent="0.25">
      <c r="A87" s="2" t="s">
        <v>1144</v>
      </c>
      <c r="B87" s="2" t="s">
        <v>1145</v>
      </c>
      <c r="C87" s="4">
        <v>23.9</v>
      </c>
      <c r="D87" s="5">
        <v>507526.40625</v>
      </c>
      <c r="E87" s="5">
        <v>2177735.5</v>
      </c>
      <c r="F87" s="5">
        <v>2598746</v>
      </c>
      <c r="G87" s="3">
        <v>7</v>
      </c>
      <c r="H87" s="3">
        <v>8</v>
      </c>
      <c r="I87" s="3">
        <v>9</v>
      </c>
      <c r="J87" s="6">
        <v>8.1853646415703807</v>
      </c>
      <c r="K87" s="6">
        <v>7.8006734006734009</v>
      </c>
      <c r="L87" s="6">
        <v>8.0410081161896638</v>
      </c>
    </row>
    <row r="88" spans="1:12" x14ac:dyDescent="0.25">
      <c r="A88" s="2" t="s">
        <v>1146</v>
      </c>
      <c r="B88" s="2" t="s">
        <v>1147</v>
      </c>
      <c r="C88" s="4">
        <v>47.4</v>
      </c>
      <c r="D88" s="5">
        <v>0</v>
      </c>
      <c r="E88" s="5">
        <v>911303.625</v>
      </c>
      <c r="F88" s="5">
        <v>0</v>
      </c>
      <c r="G88" s="3">
        <v>31</v>
      </c>
      <c r="H88" s="3">
        <v>35</v>
      </c>
      <c r="I88" s="3"/>
      <c r="J88" s="6">
        <v>36.249471984097404</v>
      </c>
      <c r="K88" s="6">
        <v>34.127946127946132</v>
      </c>
      <c r="L88" s="6" t="s">
        <v>986</v>
      </c>
    </row>
    <row r="89" spans="1:12" x14ac:dyDescent="0.25">
      <c r="A89" s="2" t="s">
        <v>1148</v>
      </c>
      <c r="B89" s="2" t="s">
        <v>1149</v>
      </c>
      <c r="C89" s="4">
        <v>22</v>
      </c>
      <c r="D89" s="5">
        <v>0</v>
      </c>
      <c r="E89" s="5">
        <v>2109400.875</v>
      </c>
      <c r="F89" s="5">
        <v>3693048.125</v>
      </c>
      <c r="G89" s="3"/>
      <c r="H89" s="3">
        <v>4</v>
      </c>
      <c r="I89" s="3">
        <v>6</v>
      </c>
      <c r="J89" s="6" t="s">
        <v>986</v>
      </c>
      <c r="K89" s="6">
        <v>3.9003367003367004</v>
      </c>
      <c r="L89" s="6">
        <v>5.3606720774597756</v>
      </c>
    </row>
    <row r="90" spans="1:12" x14ac:dyDescent="0.25">
      <c r="A90" s="2" t="s">
        <v>1150</v>
      </c>
      <c r="B90" s="2" t="s">
        <v>1151</v>
      </c>
      <c r="C90" s="4">
        <v>36.799999999999997</v>
      </c>
      <c r="D90" s="5">
        <v>1314309.5234375</v>
      </c>
      <c r="E90" s="5">
        <v>1285408.390625</v>
      </c>
      <c r="F90" s="5">
        <v>1553572.40625</v>
      </c>
      <c r="G90" s="3">
        <v>6</v>
      </c>
      <c r="H90" s="3">
        <v>5</v>
      </c>
      <c r="I90" s="3">
        <v>6</v>
      </c>
      <c r="J90" s="6">
        <v>7.0160268356317559</v>
      </c>
      <c r="K90" s="6">
        <v>4.8754208754208754</v>
      </c>
      <c r="L90" s="6">
        <v>5.3606720774597756</v>
      </c>
    </row>
    <row r="91" spans="1:12" x14ac:dyDescent="0.25">
      <c r="A91" s="2" t="s">
        <v>1152</v>
      </c>
      <c r="B91" s="2" t="s">
        <v>1153</v>
      </c>
      <c r="C91" s="4">
        <v>53.2</v>
      </c>
      <c r="D91" s="5">
        <v>363355.21875</v>
      </c>
      <c r="E91" s="5">
        <v>1685610</v>
      </c>
      <c r="F91" s="5">
        <v>211624.40625</v>
      </c>
      <c r="G91" s="3">
        <v>12</v>
      </c>
      <c r="H91" s="3">
        <v>16</v>
      </c>
      <c r="I91" s="3">
        <v>17</v>
      </c>
      <c r="J91" s="6">
        <v>14.032053671263512</v>
      </c>
      <c r="K91" s="6">
        <v>15.601346801346802</v>
      </c>
      <c r="L91" s="6">
        <v>15.188570886136031</v>
      </c>
    </row>
    <row r="92" spans="1:12" x14ac:dyDescent="0.25">
      <c r="A92" s="2" t="s">
        <v>1154</v>
      </c>
      <c r="B92" s="2" t="s">
        <v>1155</v>
      </c>
      <c r="C92" s="4">
        <v>51.7</v>
      </c>
      <c r="D92" s="5">
        <v>472627.8125</v>
      </c>
      <c r="E92" s="5">
        <v>908930.6015625</v>
      </c>
      <c r="F92" s="5">
        <v>1167038.9375</v>
      </c>
      <c r="G92" s="3">
        <v>2</v>
      </c>
      <c r="H92" s="3">
        <v>4</v>
      </c>
      <c r="I92" s="3">
        <v>4</v>
      </c>
      <c r="J92" s="6">
        <v>2.3386756118772518</v>
      </c>
      <c r="K92" s="6">
        <v>3.9003367003367004</v>
      </c>
      <c r="L92" s="6">
        <v>3.5737813849731839</v>
      </c>
    </row>
    <row r="93" spans="1:12" x14ac:dyDescent="0.25">
      <c r="A93" s="2" t="s">
        <v>1156</v>
      </c>
      <c r="B93" s="2" t="s">
        <v>1157</v>
      </c>
      <c r="C93" s="4">
        <v>28</v>
      </c>
      <c r="D93" s="5">
        <v>0</v>
      </c>
      <c r="E93" s="5">
        <v>510202.453125</v>
      </c>
      <c r="F93" s="5">
        <v>693521</v>
      </c>
      <c r="G93" s="3"/>
      <c r="H93" s="3">
        <v>3</v>
      </c>
      <c r="I93" s="3">
        <v>2</v>
      </c>
      <c r="J93" s="6" t="s">
        <v>986</v>
      </c>
      <c r="K93" s="6">
        <v>2.9252525252525254</v>
      </c>
      <c r="L93" s="6">
        <v>1.7868906924865919</v>
      </c>
    </row>
    <row r="94" spans="1:12" x14ac:dyDescent="0.25">
      <c r="A94" s="2" t="s">
        <v>1158</v>
      </c>
      <c r="B94" s="2" t="s">
        <v>1159</v>
      </c>
      <c r="C94" s="4">
        <v>54.8</v>
      </c>
      <c r="D94" s="5">
        <v>782452.859375</v>
      </c>
      <c r="E94" s="5">
        <v>1587487.25</v>
      </c>
      <c r="F94" s="5">
        <v>2137432.546875</v>
      </c>
      <c r="G94" s="3">
        <v>5</v>
      </c>
      <c r="H94" s="3">
        <v>4</v>
      </c>
      <c r="I94" s="3">
        <v>7</v>
      </c>
      <c r="J94" s="6">
        <v>5.8466890296931293</v>
      </c>
      <c r="K94" s="6">
        <v>3.9003367003367004</v>
      </c>
      <c r="L94" s="6">
        <v>6.2541174237030717</v>
      </c>
    </row>
    <row r="95" spans="1:12" x14ac:dyDescent="0.25">
      <c r="A95" s="2" t="s">
        <v>1160</v>
      </c>
      <c r="B95" s="2" t="s">
        <v>1161</v>
      </c>
      <c r="C95" s="4">
        <v>50.6</v>
      </c>
      <c r="D95" s="5">
        <v>1498023.484375</v>
      </c>
      <c r="E95" s="5">
        <v>1488926.1875</v>
      </c>
      <c r="F95" s="5">
        <v>0</v>
      </c>
      <c r="G95" s="3">
        <v>7</v>
      </c>
      <c r="H95" s="3">
        <v>6</v>
      </c>
      <c r="I95" s="3"/>
      <c r="J95" s="6">
        <v>8.1853646415703807</v>
      </c>
      <c r="K95" s="6">
        <v>5.8505050505050509</v>
      </c>
      <c r="L95" s="6" t="s">
        <v>986</v>
      </c>
    </row>
    <row r="96" spans="1:12" x14ac:dyDescent="0.25">
      <c r="A96" s="2" t="s">
        <v>1162</v>
      </c>
      <c r="B96" s="2" t="s">
        <v>1163</v>
      </c>
      <c r="C96" s="4">
        <v>23.1</v>
      </c>
      <c r="D96" s="5">
        <v>1586649.25</v>
      </c>
      <c r="E96" s="5">
        <v>2114697.625</v>
      </c>
      <c r="F96" s="5">
        <v>3860882.75</v>
      </c>
      <c r="G96" s="3">
        <v>4</v>
      </c>
      <c r="H96" s="3">
        <v>5</v>
      </c>
      <c r="I96" s="3">
        <v>6</v>
      </c>
      <c r="J96" s="6">
        <v>4.6773512237545036</v>
      </c>
      <c r="K96" s="6">
        <v>4.8754208754208754</v>
      </c>
      <c r="L96" s="6">
        <v>5.3606720774597756</v>
      </c>
    </row>
    <row r="97" spans="1:12" x14ac:dyDescent="0.25">
      <c r="A97" s="2" t="s">
        <v>1164</v>
      </c>
      <c r="B97" s="2" t="s">
        <v>1165</v>
      </c>
      <c r="C97" s="4">
        <v>27.9</v>
      </c>
      <c r="D97" s="5">
        <v>2464393.4375</v>
      </c>
      <c r="E97" s="5">
        <v>1394736.9921875</v>
      </c>
      <c r="F97" s="5">
        <v>0</v>
      </c>
      <c r="G97" s="3">
        <v>5</v>
      </c>
      <c r="H97" s="3">
        <v>5</v>
      </c>
      <c r="I97" s="3"/>
      <c r="J97" s="6">
        <v>5.8466890296931293</v>
      </c>
      <c r="K97" s="6">
        <v>4.8754208754208754</v>
      </c>
      <c r="L97" s="6" t="s">
        <v>986</v>
      </c>
    </row>
    <row r="98" spans="1:12" x14ac:dyDescent="0.25">
      <c r="A98" s="2" t="s">
        <v>1166</v>
      </c>
      <c r="B98" s="2" t="s">
        <v>1167</v>
      </c>
      <c r="C98" s="4">
        <v>35.799999999999997</v>
      </c>
      <c r="D98" s="5">
        <v>63356.98046875</v>
      </c>
      <c r="E98" s="5">
        <v>264334.5</v>
      </c>
      <c r="F98" s="5">
        <v>68061.2734375</v>
      </c>
      <c r="G98" s="3">
        <v>14</v>
      </c>
      <c r="H98" s="3">
        <v>10</v>
      </c>
      <c r="I98" s="3">
        <v>14</v>
      </c>
      <c r="J98" s="6">
        <v>16.370729283140761</v>
      </c>
      <c r="K98" s="6">
        <v>9.7508417508417509</v>
      </c>
      <c r="L98" s="6">
        <v>12.508234847406143</v>
      </c>
    </row>
    <row r="99" spans="1:12" x14ac:dyDescent="0.25">
      <c r="A99" s="2" t="s">
        <v>1168</v>
      </c>
      <c r="B99" s="2" t="s">
        <v>1086</v>
      </c>
      <c r="C99" s="4">
        <v>43</v>
      </c>
      <c r="D99" s="5">
        <v>11144532</v>
      </c>
      <c r="E99" s="5">
        <v>9842684</v>
      </c>
      <c r="F99" s="5">
        <v>11439447</v>
      </c>
      <c r="G99" s="3">
        <v>55</v>
      </c>
      <c r="H99" s="3">
        <v>48</v>
      </c>
      <c r="I99" s="3">
        <v>47</v>
      </c>
      <c r="J99" s="6">
        <v>64.313579326624421</v>
      </c>
      <c r="K99" s="6">
        <v>46.804040404040407</v>
      </c>
      <c r="L99" s="6">
        <v>41.991931273434908</v>
      </c>
    </row>
    <row r="100" spans="1:12" x14ac:dyDescent="0.25">
      <c r="A100" s="2" t="s">
        <v>1169</v>
      </c>
      <c r="B100" s="2" t="s">
        <v>1170</v>
      </c>
      <c r="C100" s="4">
        <v>97.8</v>
      </c>
      <c r="D100" s="5">
        <v>0</v>
      </c>
      <c r="E100" s="5">
        <v>803023.90625</v>
      </c>
      <c r="F100" s="5">
        <v>694389.7578125</v>
      </c>
      <c r="G100" s="3"/>
      <c r="H100" s="3">
        <v>5</v>
      </c>
      <c r="I100" s="3">
        <v>4</v>
      </c>
      <c r="J100" s="6" t="s">
        <v>986</v>
      </c>
      <c r="K100" s="6">
        <v>4.8754208754208754</v>
      </c>
      <c r="L100" s="6">
        <v>3.5737813849731839</v>
      </c>
    </row>
    <row r="101" spans="1:12" x14ac:dyDescent="0.25">
      <c r="A101" s="2" t="s">
        <v>1171</v>
      </c>
      <c r="B101" s="2" t="s">
        <v>1172</v>
      </c>
      <c r="C101" s="4">
        <v>51.7</v>
      </c>
      <c r="D101" s="5">
        <v>0</v>
      </c>
      <c r="E101" s="5">
        <v>0</v>
      </c>
      <c r="F101" s="5">
        <v>477403.5625</v>
      </c>
      <c r="G101" s="3"/>
      <c r="H101" s="3">
        <v>15</v>
      </c>
      <c r="I101" s="3">
        <v>17</v>
      </c>
      <c r="J101" s="6" t="s">
        <v>986</v>
      </c>
      <c r="K101" s="6">
        <v>14.626262626262626</v>
      </c>
      <c r="L101" s="6">
        <v>15.188570886136031</v>
      </c>
    </row>
    <row r="102" spans="1:12" x14ac:dyDescent="0.25">
      <c r="A102" s="2" t="s">
        <v>1173</v>
      </c>
      <c r="B102" s="2" t="s">
        <v>1174</v>
      </c>
      <c r="C102" s="4">
        <v>51.2</v>
      </c>
      <c r="D102" s="5">
        <v>0</v>
      </c>
      <c r="E102" s="5">
        <v>1054782.75</v>
      </c>
      <c r="F102" s="5">
        <v>2083596.0625</v>
      </c>
      <c r="G102" s="3"/>
      <c r="H102" s="3">
        <v>3</v>
      </c>
      <c r="I102" s="3">
        <v>5</v>
      </c>
      <c r="J102" s="6" t="s">
        <v>986</v>
      </c>
      <c r="K102" s="6">
        <v>2.9252525252525254</v>
      </c>
      <c r="L102" s="6">
        <v>4.4672267312164795</v>
      </c>
    </row>
    <row r="103" spans="1:12" x14ac:dyDescent="0.25">
      <c r="A103" s="2" t="s">
        <v>1175</v>
      </c>
      <c r="B103" s="2" t="s">
        <v>1176</v>
      </c>
      <c r="C103" s="4">
        <v>31.6</v>
      </c>
      <c r="D103" s="5">
        <v>1479957.625</v>
      </c>
      <c r="E103" s="5">
        <v>1875696.125</v>
      </c>
      <c r="F103" s="5">
        <v>2572012</v>
      </c>
      <c r="G103" s="3">
        <v>6</v>
      </c>
      <c r="H103" s="3">
        <v>5</v>
      </c>
      <c r="I103" s="3">
        <v>6</v>
      </c>
      <c r="J103" s="6">
        <v>7.0160268356317559</v>
      </c>
      <c r="K103" s="6">
        <v>4.8754208754208754</v>
      </c>
      <c r="L103" s="6">
        <v>5.3606720774597756</v>
      </c>
    </row>
    <row r="104" spans="1:12" x14ac:dyDescent="0.25">
      <c r="A104" s="2" t="s">
        <v>1177</v>
      </c>
      <c r="B104" s="2" t="s">
        <v>1178</v>
      </c>
      <c r="C104" s="4">
        <v>38.5</v>
      </c>
      <c r="D104" s="5">
        <v>43230270.375</v>
      </c>
      <c r="E104" s="5">
        <v>46349963.59375</v>
      </c>
      <c r="F104" s="5">
        <v>61488096.1875</v>
      </c>
      <c r="G104" s="3">
        <v>29</v>
      </c>
      <c r="H104" s="3">
        <v>29</v>
      </c>
      <c r="I104" s="3">
        <v>28</v>
      </c>
      <c r="J104" s="6">
        <v>33.910796372220155</v>
      </c>
      <c r="K104" s="6">
        <v>28.277441077441079</v>
      </c>
      <c r="L104" s="6">
        <v>25.016469694812287</v>
      </c>
    </row>
    <row r="105" spans="1:12" x14ac:dyDescent="0.25">
      <c r="A105" s="2" t="s">
        <v>1179</v>
      </c>
      <c r="B105" s="2" t="s">
        <v>1180</v>
      </c>
      <c r="C105" s="4">
        <v>59.2</v>
      </c>
      <c r="D105" s="5">
        <v>6879567.5</v>
      </c>
      <c r="E105" s="5">
        <v>8228423.8125</v>
      </c>
      <c r="F105" s="5">
        <v>14320011.625</v>
      </c>
      <c r="G105" s="3">
        <v>13</v>
      </c>
      <c r="H105" s="3">
        <v>12</v>
      </c>
      <c r="I105" s="3">
        <v>17</v>
      </c>
      <c r="J105" s="6">
        <v>15.201391477202138</v>
      </c>
      <c r="K105" s="6">
        <v>11.701010101010102</v>
      </c>
      <c r="L105" s="6">
        <v>15.188570886136031</v>
      </c>
    </row>
    <row r="106" spans="1:12" x14ac:dyDescent="0.25">
      <c r="A106" s="2" t="s">
        <v>1181</v>
      </c>
      <c r="B106" s="2" t="s">
        <v>1182</v>
      </c>
      <c r="C106" s="4">
        <v>69.3</v>
      </c>
      <c r="D106" s="5">
        <v>3487372.765625</v>
      </c>
      <c r="E106" s="5">
        <v>11528383.25</v>
      </c>
      <c r="F106" s="5">
        <v>10961840.75</v>
      </c>
      <c r="G106" s="3">
        <v>7</v>
      </c>
      <c r="H106" s="3">
        <v>9</v>
      </c>
      <c r="I106" s="3">
        <v>7</v>
      </c>
      <c r="J106" s="6">
        <v>8.1853646415703807</v>
      </c>
      <c r="K106" s="6">
        <v>8.7757575757575754</v>
      </c>
      <c r="L106" s="6">
        <v>6.2541174237030717</v>
      </c>
    </row>
    <row r="107" spans="1:12" x14ac:dyDescent="0.25">
      <c r="A107" s="2" t="s">
        <v>1183</v>
      </c>
      <c r="B107" s="2" t="s">
        <v>1184</v>
      </c>
      <c r="C107" s="4">
        <v>19.8</v>
      </c>
      <c r="D107" s="5">
        <v>553604.296875</v>
      </c>
      <c r="E107" s="5">
        <v>1485622.4375</v>
      </c>
      <c r="F107" s="5">
        <v>3006526.625</v>
      </c>
      <c r="G107" s="3">
        <v>3</v>
      </c>
      <c r="H107" s="3">
        <v>4</v>
      </c>
      <c r="I107" s="3">
        <v>4</v>
      </c>
      <c r="J107" s="6">
        <v>3.5080134178158779</v>
      </c>
      <c r="K107" s="6">
        <v>3.9003367003367004</v>
      </c>
      <c r="L107" s="6">
        <v>3.5737813849731839</v>
      </c>
    </row>
    <row r="108" spans="1:12" x14ac:dyDescent="0.25">
      <c r="A108" s="2" t="s">
        <v>1185</v>
      </c>
      <c r="B108" s="2" t="s">
        <v>1186</v>
      </c>
      <c r="C108" s="4">
        <v>25.4</v>
      </c>
      <c r="D108" s="5">
        <v>0</v>
      </c>
      <c r="E108" s="5">
        <v>1441821.234375</v>
      </c>
      <c r="F108" s="5">
        <v>0</v>
      </c>
      <c r="G108" s="3"/>
      <c r="H108" s="3">
        <v>2</v>
      </c>
      <c r="I108" s="3"/>
      <c r="J108" s="6" t="s">
        <v>986</v>
      </c>
      <c r="K108" s="6">
        <v>1.9501683501683502</v>
      </c>
      <c r="L108" s="6" t="s">
        <v>986</v>
      </c>
    </row>
    <row r="109" spans="1:12" x14ac:dyDescent="0.25">
      <c r="A109" s="2" t="s">
        <v>1187</v>
      </c>
      <c r="B109" s="2" t="s">
        <v>1073</v>
      </c>
      <c r="C109" s="4">
        <v>30.5</v>
      </c>
      <c r="D109" s="5">
        <v>1967120.15625</v>
      </c>
      <c r="E109" s="5">
        <v>5322329.875</v>
      </c>
      <c r="F109" s="5">
        <v>4340207.5</v>
      </c>
      <c r="G109" s="3">
        <v>7</v>
      </c>
      <c r="H109" s="3">
        <v>10</v>
      </c>
      <c r="I109" s="3">
        <v>8</v>
      </c>
      <c r="J109" s="6">
        <v>8.1853646415703807</v>
      </c>
      <c r="K109" s="6">
        <v>9.7508417508417509</v>
      </c>
      <c r="L109" s="6">
        <v>7.1475627699463677</v>
      </c>
    </row>
    <row r="110" spans="1:12" x14ac:dyDescent="0.25">
      <c r="A110" s="2" t="s">
        <v>1188</v>
      </c>
      <c r="B110" s="2" t="s">
        <v>1189</v>
      </c>
      <c r="C110" s="4">
        <v>153.6</v>
      </c>
      <c r="D110" s="5">
        <v>0</v>
      </c>
      <c r="E110" s="5">
        <v>490025.03125</v>
      </c>
      <c r="F110" s="5">
        <v>5233225.5</v>
      </c>
      <c r="G110" s="3"/>
      <c r="H110" s="3">
        <v>7</v>
      </c>
      <c r="I110" s="3">
        <v>11</v>
      </c>
      <c r="J110" s="6" t="s">
        <v>986</v>
      </c>
      <c r="K110" s="6">
        <v>6.8255892255892263</v>
      </c>
      <c r="L110" s="6">
        <v>9.8278988086762542</v>
      </c>
    </row>
    <row r="111" spans="1:12" x14ac:dyDescent="0.25">
      <c r="A111" s="2" t="s">
        <v>1190</v>
      </c>
      <c r="B111" s="2" t="s">
        <v>1191</v>
      </c>
      <c r="C111" s="4">
        <v>25.2</v>
      </c>
      <c r="D111" s="5">
        <v>1781431.25</v>
      </c>
      <c r="E111" s="5">
        <v>1638136.5625</v>
      </c>
      <c r="F111" s="5">
        <v>2154562</v>
      </c>
      <c r="G111" s="3">
        <v>6</v>
      </c>
      <c r="H111" s="3">
        <v>6</v>
      </c>
      <c r="I111" s="3">
        <v>5</v>
      </c>
      <c r="J111" s="6">
        <v>7.0160268356317559</v>
      </c>
      <c r="K111" s="6">
        <v>5.8505050505050509</v>
      </c>
      <c r="L111" s="6">
        <v>4.4672267312164795</v>
      </c>
    </row>
    <row r="112" spans="1:12" x14ac:dyDescent="0.25">
      <c r="A112" s="2" t="s">
        <v>1192</v>
      </c>
      <c r="B112" s="2" t="s">
        <v>1193</v>
      </c>
      <c r="C112" s="4">
        <v>20.8</v>
      </c>
      <c r="D112" s="5">
        <v>10508491.9375</v>
      </c>
      <c r="E112" s="5">
        <v>22776880.625</v>
      </c>
      <c r="F112" s="5">
        <v>35951314.75</v>
      </c>
      <c r="G112" s="3">
        <v>14</v>
      </c>
      <c r="H112" s="3">
        <v>15</v>
      </c>
      <c r="I112" s="3">
        <v>12</v>
      </c>
      <c r="J112" s="6">
        <v>16.370729283140761</v>
      </c>
      <c r="K112" s="6">
        <v>14.626262626262626</v>
      </c>
      <c r="L112" s="6">
        <v>10.721344154919551</v>
      </c>
    </row>
    <row r="113" spans="1:12" x14ac:dyDescent="0.25">
      <c r="A113" s="2" t="s">
        <v>1194</v>
      </c>
      <c r="B113" s="2" t="s">
        <v>1046</v>
      </c>
      <c r="C113" s="4">
        <v>27.3</v>
      </c>
      <c r="D113" s="5">
        <v>0</v>
      </c>
      <c r="E113" s="5">
        <v>0</v>
      </c>
      <c r="F113" s="5">
        <v>288977.3125</v>
      </c>
      <c r="G113" s="3"/>
      <c r="H113" s="3">
        <v>11</v>
      </c>
      <c r="I113" s="3">
        <v>9</v>
      </c>
      <c r="J113" s="6" t="s">
        <v>986</v>
      </c>
      <c r="K113" s="6">
        <v>10.725925925925926</v>
      </c>
      <c r="L113" s="6">
        <v>8.0410081161896638</v>
      </c>
    </row>
    <row r="114" spans="1:12" x14ac:dyDescent="0.25">
      <c r="A114" s="2" t="s">
        <v>1195</v>
      </c>
      <c r="B114" s="2" t="s">
        <v>1196</v>
      </c>
      <c r="C114" s="4">
        <v>16.8</v>
      </c>
      <c r="D114" s="5">
        <v>3763890.46875</v>
      </c>
      <c r="E114" s="5">
        <v>11844512.625</v>
      </c>
      <c r="F114" s="5">
        <v>15099307.5625</v>
      </c>
      <c r="G114" s="3">
        <v>9</v>
      </c>
      <c r="H114" s="3">
        <v>11</v>
      </c>
      <c r="I114" s="3">
        <v>15</v>
      </c>
      <c r="J114" s="6">
        <v>10.524040253447634</v>
      </c>
      <c r="K114" s="6">
        <v>10.725925925925926</v>
      </c>
      <c r="L114" s="6">
        <v>13.40168019364944</v>
      </c>
    </row>
    <row r="115" spans="1:12" x14ac:dyDescent="0.25">
      <c r="A115" s="2" t="s">
        <v>1197</v>
      </c>
      <c r="B115" s="2" t="s">
        <v>1198</v>
      </c>
      <c r="C115" s="4">
        <v>30.3</v>
      </c>
      <c r="D115" s="5">
        <v>649138.40625</v>
      </c>
      <c r="E115" s="5">
        <v>1028200.9375</v>
      </c>
      <c r="F115" s="5">
        <v>1290875.375</v>
      </c>
      <c r="G115" s="3">
        <v>2</v>
      </c>
      <c r="H115" s="3">
        <v>4</v>
      </c>
      <c r="I115" s="3">
        <v>4</v>
      </c>
      <c r="J115" s="6">
        <v>2.3386756118772518</v>
      </c>
      <c r="K115" s="6">
        <v>3.9003367003367004</v>
      </c>
      <c r="L115" s="6">
        <v>3.5737813849731839</v>
      </c>
    </row>
    <row r="116" spans="1:12" x14ac:dyDescent="0.25">
      <c r="A116" s="2" t="s">
        <v>1199</v>
      </c>
      <c r="B116" s="2" t="s">
        <v>1200</v>
      </c>
      <c r="C116" s="4">
        <v>43</v>
      </c>
      <c r="D116" s="5">
        <v>1379956.65625</v>
      </c>
      <c r="E116" s="5">
        <v>3798117.09375</v>
      </c>
      <c r="F116" s="5">
        <v>7064488</v>
      </c>
      <c r="G116" s="3">
        <v>7</v>
      </c>
      <c r="H116" s="3">
        <v>10</v>
      </c>
      <c r="I116" s="3">
        <v>10</v>
      </c>
      <c r="J116" s="6">
        <v>8.1853646415703807</v>
      </c>
      <c r="K116" s="6">
        <v>9.7508417508417509</v>
      </c>
      <c r="L116" s="6">
        <v>8.934453462432959</v>
      </c>
    </row>
    <row r="117" spans="1:12" x14ac:dyDescent="0.25">
      <c r="A117" s="2" t="s">
        <v>1201</v>
      </c>
      <c r="B117" s="2" t="s">
        <v>1048</v>
      </c>
      <c r="C117" s="4">
        <v>28.7</v>
      </c>
      <c r="D117" s="5">
        <v>861921.5</v>
      </c>
      <c r="E117" s="5">
        <v>3596127.34375</v>
      </c>
      <c r="F117" s="5">
        <v>0</v>
      </c>
      <c r="G117" s="3">
        <v>5</v>
      </c>
      <c r="H117" s="3">
        <v>8</v>
      </c>
      <c r="I117" s="3"/>
      <c r="J117" s="6">
        <v>5.8466890296931293</v>
      </c>
      <c r="K117" s="6">
        <v>7.8006734006734009</v>
      </c>
      <c r="L117" s="6" t="s">
        <v>986</v>
      </c>
    </row>
    <row r="118" spans="1:12" x14ac:dyDescent="0.25">
      <c r="A118" s="2" t="s">
        <v>1202</v>
      </c>
      <c r="B118" s="2" t="s">
        <v>1203</v>
      </c>
      <c r="C118" s="4">
        <v>49.6</v>
      </c>
      <c r="D118" s="5">
        <v>0</v>
      </c>
      <c r="E118" s="5">
        <v>1244212.3125</v>
      </c>
      <c r="F118" s="5">
        <v>0</v>
      </c>
      <c r="G118" s="3"/>
      <c r="H118" s="3">
        <v>5</v>
      </c>
      <c r="I118" s="3"/>
      <c r="J118" s="6" t="s">
        <v>986</v>
      </c>
      <c r="K118" s="6">
        <v>4.8754208754208754</v>
      </c>
      <c r="L118" s="6" t="s">
        <v>986</v>
      </c>
    </row>
    <row r="119" spans="1:12" x14ac:dyDescent="0.25">
      <c r="A119" s="2" t="s">
        <v>1204</v>
      </c>
      <c r="B119" s="2" t="s">
        <v>1205</v>
      </c>
      <c r="C119" s="4">
        <v>24.6</v>
      </c>
      <c r="D119" s="5">
        <v>1644132771.6914101</v>
      </c>
      <c r="E119" s="5">
        <v>3209583233.3027301</v>
      </c>
      <c r="F119" s="5">
        <v>5842221407.4648399</v>
      </c>
      <c r="G119" s="3">
        <v>296</v>
      </c>
      <c r="H119" s="3">
        <v>382</v>
      </c>
      <c r="I119" s="3">
        <v>418</v>
      </c>
      <c r="J119" s="6">
        <v>346.12399055783328</v>
      </c>
      <c r="K119" s="6">
        <v>372.48215488215493</v>
      </c>
      <c r="L119" s="6">
        <v>373.46015472969765</v>
      </c>
    </row>
    <row r="120" spans="1:12" x14ac:dyDescent="0.25">
      <c r="A120" s="2" t="s">
        <v>1206</v>
      </c>
      <c r="B120" s="2" t="s">
        <v>1025</v>
      </c>
      <c r="C120" s="4">
        <v>24.8</v>
      </c>
      <c r="D120" s="5">
        <v>0</v>
      </c>
      <c r="E120" s="5">
        <v>3725841.25</v>
      </c>
      <c r="F120" s="5">
        <v>1934742.3125</v>
      </c>
      <c r="G120" s="3"/>
      <c r="H120" s="3">
        <v>3</v>
      </c>
      <c r="I120" s="3">
        <v>4</v>
      </c>
      <c r="J120" s="6" t="s">
        <v>986</v>
      </c>
      <c r="K120" s="6">
        <v>2.9252525252525254</v>
      </c>
      <c r="L120" s="6">
        <v>3.5737813849731839</v>
      </c>
    </row>
    <row r="121" spans="1:12" x14ac:dyDescent="0.25">
      <c r="A121" s="2" t="s">
        <v>1207</v>
      </c>
      <c r="B121" s="2" t="s">
        <v>1208</v>
      </c>
      <c r="C121" s="4">
        <v>44.6</v>
      </c>
      <c r="D121" s="5">
        <v>1528646.640625</v>
      </c>
      <c r="E121" s="5">
        <v>24905790.9375</v>
      </c>
      <c r="F121" s="5">
        <v>50187283.75</v>
      </c>
      <c r="G121" s="3">
        <v>9</v>
      </c>
      <c r="H121" s="3">
        <v>32</v>
      </c>
      <c r="I121" s="3">
        <v>41</v>
      </c>
      <c r="J121" s="6">
        <v>10.524040253447634</v>
      </c>
      <c r="K121" s="6">
        <v>31.202693602693603</v>
      </c>
      <c r="L121" s="6">
        <v>36.631259195975133</v>
      </c>
    </row>
    <row r="122" spans="1:12" x14ac:dyDescent="0.25">
      <c r="A122" s="2" t="s">
        <v>1209</v>
      </c>
      <c r="B122" s="2" t="s">
        <v>1210</v>
      </c>
      <c r="C122" s="4">
        <v>37.700000000000003</v>
      </c>
      <c r="D122" s="5">
        <v>5892045.46875</v>
      </c>
      <c r="E122" s="5">
        <v>9286259.28125</v>
      </c>
      <c r="F122" s="5">
        <v>9800585.3125</v>
      </c>
      <c r="G122" s="3">
        <v>17</v>
      </c>
      <c r="H122" s="3">
        <v>17</v>
      </c>
      <c r="I122" s="3">
        <v>16</v>
      </c>
      <c r="J122" s="6">
        <v>19.878742700956643</v>
      </c>
      <c r="K122" s="6">
        <v>16.576430976430977</v>
      </c>
      <c r="L122" s="6">
        <v>14.295125539892735</v>
      </c>
    </row>
    <row r="123" spans="1:12" x14ac:dyDescent="0.25">
      <c r="A123" s="2" t="s">
        <v>1211</v>
      </c>
      <c r="B123" s="2" t="s">
        <v>1212</v>
      </c>
      <c r="C123" s="4">
        <v>53.4</v>
      </c>
      <c r="D123" s="5">
        <v>1655654.71875</v>
      </c>
      <c r="E123" s="5">
        <v>254929.546875</v>
      </c>
      <c r="F123" s="5">
        <v>1245227.6875</v>
      </c>
      <c r="G123" s="3">
        <v>8</v>
      </c>
      <c r="H123" s="3">
        <v>11</v>
      </c>
      <c r="I123" s="3">
        <v>14</v>
      </c>
      <c r="J123" s="6">
        <v>9.3547024475090073</v>
      </c>
      <c r="K123" s="6">
        <v>10.725925925925926</v>
      </c>
      <c r="L123" s="6">
        <v>12.508234847406143</v>
      </c>
    </row>
    <row r="124" spans="1:12" x14ac:dyDescent="0.25">
      <c r="A124" s="2" t="s">
        <v>1213</v>
      </c>
      <c r="B124" s="2" t="s">
        <v>1063</v>
      </c>
      <c r="C124" s="4">
        <v>39.799999999999997</v>
      </c>
      <c r="D124" s="5">
        <v>12443360.0390625</v>
      </c>
      <c r="E124" s="5">
        <v>11257425</v>
      </c>
      <c r="F124" s="5">
        <v>13595453.53125</v>
      </c>
      <c r="G124" s="3">
        <v>29</v>
      </c>
      <c r="H124" s="3">
        <v>24</v>
      </c>
      <c r="I124" s="3">
        <v>20</v>
      </c>
      <c r="J124" s="6">
        <v>33.910796372220155</v>
      </c>
      <c r="K124" s="6">
        <v>23.402020202020203</v>
      </c>
      <c r="L124" s="6">
        <v>17.868906924865918</v>
      </c>
    </row>
    <row r="125" spans="1:12" x14ac:dyDescent="0.25">
      <c r="A125" s="2" t="s">
        <v>1214</v>
      </c>
      <c r="B125" s="2" t="s">
        <v>1215</v>
      </c>
      <c r="C125" s="4">
        <v>53.4</v>
      </c>
      <c r="D125" s="5">
        <v>5145105.3203125</v>
      </c>
      <c r="E125" s="5">
        <v>14932520.453125</v>
      </c>
      <c r="F125" s="5">
        <v>17286525.03125</v>
      </c>
      <c r="G125" s="3">
        <v>23</v>
      </c>
      <c r="H125" s="3">
        <v>30</v>
      </c>
      <c r="I125" s="3">
        <v>24</v>
      </c>
      <c r="J125" s="6">
        <v>26.894769536588395</v>
      </c>
      <c r="K125" s="6">
        <v>29.252525252525253</v>
      </c>
      <c r="L125" s="6">
        <v>21.442688309839102</v>
      </c>
    </row>
    <row r="126" spans="1:12" x14ac:dyDescent="0.25">
      <c r="A126" s="2" t="s">
        <v>1216</v>
      </c>
      <c r="B126" s="2" t="s">
        <v>1217</v>
      </c>
      <c r="C126" s="4">
        <v>112.3</v>
      </c>
      <c r="D126" s="5">
        <v>8330819.9375</v>
      </c>
      <c r="E126" s="5">
        <v>19780128.84375</v>
      </c>
      <c r="F126" s="5">
        <v>43686621.4375</v>
      </c>
      <c r="G126" s="3">
        <v>26</v>
      </c>
      <c r="H126" s="3">
        <v>38</v>
      </c>
      <c r="I126" s="3">
        <v>45</v>
      </c>
      <c r="J126" s="6">
        <v>30.402782954404277</v>
      </c>
      <c r="K126" s="6">
        <v>37.053198653198656</v>
      </c>
      <c r="L126" s="6">
        <v>40.205040580948314</v>
      </c>
    </row>
    <row r="127" spans="1:12" x14ac:dyDescent="0.25">
      <c r="A127" s="2" t="s">
        <v>1218</v>
      </c>
      <c r="B127" s="2" t="s">
        <v>1219</v>
      </c>
      <c r="C127" s="4">
        <v>89.1</v>
      </c>
      <c r="D127" s="5">
        <v>0</v>
      </c>
      <c r="E127" s="5">
        <v>1685129.125</v>
      </c>
      <c r="F127" s="5">
        <v>3130420.046875</v>
      </c>
      <c r="G127" s="3"/>
      <c r="H127" s="3">
        <v>6</v>
      </c>
      <c r="I127" s="3">
        <v>8</v>
      </c>
      <c r="J127" s="6" t="s">
        <v>986</v>
      </c>
      <c r="K127" s="6">
        <v>5.8505050505050509</v>
      </c>
      <c r="L127" s="6">
        <v>7.1475627699463677</v>
      </c>
    </row>
    <row r="128" spans="1:12" x14ac:dyDescent="0.25">
      <c r="A128" s="2" t="s">
        <v>1220</v>
      </c>
      <c r="B128" s="2" t="s">
        <v>1145</v>
      </c>
      <c r="C128" s="4">
        <v>23.7</v>
      </c>
      <c r="D128" s="5">
        <v>445888.65625</v>
      </c>
      <c r="E128" s="5">
        <v>791254.9375</v>
      </c>
      <c r="F128" s="5">
        <v>1588160</v>
      </c>
      <c r="G128" s="3">
        <v>7</v>
      </c>
      <c r="H128" s="3">
        <v>8</v>
      </c>
      <c r="I128" s="3">
        <v>9</v>
      </c>
      <c r="J128" s="6">
        <v>8.1853646415703807</v>
      </c>
      <c r="K128" s="6">
        <v>7.8006734006734009</v>
      </c>
      <c r="L128" s="6">
        <v>8.0410081161896638</v>
      </c>
    </row>
    <row r="129" spans="1:12" x14ac:dyDescent="0.25">
      <c r="A129" s="2" t="s">
        <v>1221</v>
      </c>
      <c r="B129" s="2" t="s">
        <v>1153</v>
      </c>
      <c r="C129" s="4">
        <v>56.9</v>
      </c>
      <c r="D129" s="5">
        <v>430075.03125</v>
      </c>
      <c r="E129" s="5">
        <v>771764.25</v>
      </c>
      <c r="F129" s="5">
        <v>0</v>
      </c>
      <c r="G129" s="3">
        <v>13</v>
      </c>
      <c r="H129" s="3">
        <v>16</v>
      </c>
      <c r="I129" s="3"/>
      <c r="J129" s="6">
        <v>15.201391477202138</v>
      </c>
      <c r="K129" s="6">
        <v>15.601346801346802</v>
      </c>
      <c r="L129" s="6" t="s">
        <v>986</v>
      </c>
    </row>
    <row r="130" spans="1:12" x14ac:dyDescent="0.25">
      <c r="A130" s="2" t="s">
        <v>1222</v>
      </c>
      <c r="B130" s="2" t="s">
        <v>1223</v>
      </c>
      <c r="C130" s="4">
        <v>38.799999999999997</v>
      </c>
      <c r="D130" s="5">
        <v>2299431.5234375</v>
      </c>
      <c r="E130" s="5">
        <v>4540120.140625</v>
      </c>
      <c r="F130" s="5">
        <v>5179919.15625</v>
      </c>
      <c r="G130" s="3">
        <v>8</v>
      </c>
      <c r="H130" s="3">
        <v>13</v>
      </c>
      <c r="I130" s="3">
        <v>10</v>
      </c>
      <c r="J130" s="6">
        <v>9.3547024475090073</v>
      </c>
      <c r="K130" s="6">
        <v>12.676094276094277</v>
      </c>
      <c r="L130" s="6">
        <v>8.934453462432959</v>
      </c>
    </row>
    <row r="131" spans="1:12" x14ac:dyDescent="0.25">
      <c r="A131" s="2" t="s">
        <v>1224</v>
      </c>
      <c r="B131" s="2" t="s">
        <v>1225</v>
      </c>
      <c r="C131" s="4">
        <v>34.6</v>
      </c>
      <c r="D131" s="5">
        <v>321285.53125</v>
      </c>
      <c r="E131" s="5">
        <v>2482616.578125</v>
      </c>
      <c r="F131" s="5">
        <v>10435408.15625</v>
      </c>
      <c r="G131" s="3">
        <v>12</v>
      </c>
      <c r="H131" s="3">
        <v>30</v>
      </c>
      <c r="I131" s="3">
        <v>34</v>
      </c>
      <c r="J131" s="6">
        <v>14.032053671263512</v>
      </c>
      <c r="K131" s="6">
        <v>29.252525252525253</v>
      </c>
      <c r="L131" s="6">
        <v>30.377141772272061</v>
      </c>
    </row>
    <row r="132" spans="1:12" x14ac:dyDescent="0.25">
      <c r="A132" s="2" t="s">
        <v>1226</v>
      </c>
      <c r="B132" s="2" t="s">
        <v>1017</v>
      </c>
      <c r="C132" s="4">
        <v>57.3</v>
      </c>
      <c r="D132" s="5">
        <v>1598046.9375</v>
      </c>
      <c r="E132" s="5">
        <v>3018065.96875</v>
      </c>
      <c r="F132" s="5">
        <v>3418620.625</v>
      </c>
      <c r="G132" s="3">
        <v>3</v>
      </c>
      <c r="H132" s="3">
        <v>6</v>
      </c>
      <c r="I132" s="3">
        <v>5</v>
      </c>
      <c r="J132" s="6">
        <v>3.5080134178158779</v>
      </c>
      <c r="K132" s="6">
        <v>5.8505050505050509</v>
      </c>
      <c r="L132" s="6">
        <v>4.4672267312164795</v>
      </c>
    </row>
    <row r="133" spans="1:12" x14ac:dyDescent="0.25">
      <c r="A133" s="2" t="s">
        <v>1227</v>
      </c>
      <c r="B133" s="2" t="s">
        <v>1046</v>
      </c>
      <c r="C133" s="4">
        <v>27.3</v>
      </c>
      <c r="D133" s="5">
        <v>1019246.4375</v>
      </c>
      <c r="E133" s="5">
        <v>1111994</v>
      </c>
      <c r="F133" s="5">
        <v>991915.25</v>
      </c>
      <c r="G133" s="3">
        <v>21</v>
      </c>
      <c r="H133" s="3">
        <v>14</v>
      </c>
      <c r="I133" s="3">
        <v>14</v>
      </c>
      <c r="J133" s="6">
        <v>24.556093924711146</v>
      </c>
      <c r="K133" s="6">
        <v>13.651178451178453</v>
      </c>
      <c r="L133" s="6">
        <v>12.508234847406143</v>
      </c>
    </row>
    <row r="134" spans="1:12" x14ac:dyDescent="0.25">
      <c r="A134" s="2" t="s">
        <v>1228</v>
      </c>
      <c r="B134" s="2" t="s">
        <v>1229</v>
      </c>
      <c r="C134" s="4">
        <v>40.799999999999997</v>
      </c>
      <c r="D134" s="5">
        <v>2869780.3125</v>
      </c>
      <c r="E134" s="5">
        <v>1460200.46875</v>
      </c>
      <c r="F134" s="5">
        <v>1161053.78125</v>
      </c>
      <c r="G134" s="3">
        <v>9</v>
      </c>
      <c r="H134" s="3">
        <v>4</v>
      </c>
      <c r="I134" s="3">
        <v>3</v>
      </c>
      <c r="J134" s="6">
        <v>10.524040253447634</v>
      </c>
      <c r="K134" s="6">
        <v>3.9003367003367004</v>
      </c>
      <c r="L134" s="6">
        <v>2.6803360387298878</v>
      </c>
    </row>
    <row r="135" spans="1:12" x14ac:dyDescent="0.25">
      <c r="A135" s="2" t="s">
        <v>1230</v>
      </c>
      <c r="B135" s="2" t="s">
        <v>1231</v>
      </c>
      <c r="C135" s="4">
        <v>38.799999999999997</v>
      </c>
      <c r="D135" s="5">
        <v>1255737.671875</v>
      </c>
      <c r="E135" s="5">
        <v>2003041.71875</v>
      </c>
      <c r="F135" s="5">
        <v>1183167.34375</v>
      </c>
      <c r="G135" s="3">
        <v>5</v>
      </c>
      <c r="H135" s="3">
        <v>5</v>
      </c>
      <c r="I135" s="3">
        <v>3</v>
      </c>
      <c r="J135" s="6">
        <v>5.8466890296931293</v>
      </c>
      <c r="K135" s="6">
        <v>4.8754208754208754</v>
      </c>
      <c r="L135" s="6">
        <v>2.6803360387298878</v>
      </c>
    </row>
    <row r="136" spans="1:12" x14ac:dyDescent="0.25">
      <c r="A136" s="2" t="s">
        <v>1232</v>
      </c>
      <c r="B136" s="2" t="s">
        <v>1233</v>
      </c>
      <c r="C136" s="4">
        <v>27.9</v>
      </c>
      <c r="D136" s="5">
        <v>2110023.09375</v>
      </c>
      <c r="E136" s="5">
        <v>13890490.4375</v>
      </c>
      <c r="F136" s="5">
        <v>0</v>
      </c>
      <c r="G136" s="3">
        <v>6</v>
      </c>
      <c r="H136" s="3">
        <v>12</v>
      </c>
      <c r="I136" s="3"/>
      <c r="J136" s="6">
        <v>7.0160268356317559</v>
      </c>
      <c r="K136" s="6">
        <v>11.701010101010102</v>
      </c>
      <c r="L136" s="6" t="s">
        <v>986</v>
      </c>
    </row>
    <row r="137" spans="1:12" x14ac:dyDescent="0.25">
      <c r="A137" s="2" t="s">
        <v>1234</v>
      </c>
      <c r="B137" s="2" t="s">
        <v>1235</v>
      </c>
      <c r="C137" s="4">
        <v>104.3</v>
      </c>
      <c r="D137" s="5">
        <v>0</v>
      </c>
      <c r="E137" s="5">
        <v>3485745.90625</v>
      </c>
      <c r="F137" s="5">
        <v>0</v>
      </c>
      <c r="G137" s="3"/>
      <c r="H137" s="3">
        <v>33</v>
      </c>
      <c r="I137" s="3"/>
      <c r="J137" s="6" t="s">
        <v>986</v>
      </c>
      <c r="K137" s="6">
        <v>32.177777777777777</v>
      </c>
      <c r="L137" s="6" t="s">
        <v>986</v>
      </c>
    </row>
    <row r="138" spans="1:12" x14ac:dyDescent="0.25">
      <c r="A138" s="2" t="s">
        <v>1236</v>
      </c>
      <c r="B138" s="2" t="s">
        <v>1237</v>
      </c>
      <c r="C138" s="4">
        <v>68.599999999999994</v>
      </c>
      <c r="D138" s="5">
        <v>0</v>
      </c>
      <c r="E138" s="5">
        <v>0</v>
      </c>
      <c r="F138" s="5">
        <v>494481.625</v>
      </c>
      <c r="G138" s="3"/>
      <c r="H138" s="3">
        <v>33</v>
      </c>
      <c r="I138" s="3">
        <v>32</v>
      </c>
      <c r="J138" s="6" t="s">
        <v>986</v>
      </c>
      <c r="K138" s="6">
        <v>32.177777777777777</v>
      </c>
      <c r="L138" s="6">
        <v>28.590251079785471</v>
      </c>
    </row>
    <row r="139" spans="1:12" x14ac:dyDescent="0.25">
      <c r="A139" s="2" t="s">
        <v>1238</v>
      </c>
      <c r="B139" s="2" t="s">
        <v>1239</v>
      </c>
      <c r="C139" s="4">
        <v>50.2</v>
      </c>
      <c r="D139" s="5">
        <v>8173104.625</v>
      </c>
      <c r="E139" s="5">
        <v>8984546.75</v>
      </c>
      <c r="F139" s="5">
        <v>6306810.96875</v>
      </c>
      <c r="G139" s="3">
        <v>16</v>
      </c>
      <c r="H139" s="3">
        <v>16</v>
      </c>
      <c r="I139" s="3">
        <v>13</v>
      </c>
      <c r="J139" s="6">
        <v>18.709404895018015</v>
      </c>
      <c r="K139" s="6">
        <v>15.601346801346802</v>
      </c>
      <c r="L139" s="6">
        <v>11.614789501162846</v>
      </c>
    </row>
    <row r="140" spans="1:12" x14ac:dyDescent="0.25">
      <c r="A140" s="2" t="s">
        <v>1240</v>
      </c>
      <c r="B140" s="2" t="s">
        <v>1241</v>
      </c>
      <c r="C140" s="4">
        <v>87.6</v>
      </c>
      <c r="D140" s="5">
        <v>3378530.078125</v>
      </c>
      <c r="E140" s="5">
        <v>5507280.96875</v>
      </c>
      <c r="F140" s="5">
        <v>10985211.5625</v>
      </c>
      <c r="G140" s="3">
        <v>6</v>
      </c>
      <c r="H140" s="3">
        <v>8</v>
      </c>
      <c r="I140" s="3">
        <v>11</v>
      </c>
      <c r="J140" s="6">
        <v>7.0160268356317559</v>
      </c>
      <c r="K140" s="6">
        <v>7.8006734006734009</v>
      </c>
      <c r="L140" s="6">
        <v>9.8278988086762542</v>
      </c>
    </row>
    <row r="141" spans="1:12" x14ac:dyDescent="0.25">
      <c r="A141" s="2" t="s">
        <v>1242</v>
      </c>
      <c r="B141" s="2" t="s">
        <v>1243</v>
      </c>
      <c r="C141" s="4">
        <v>21.9</v>
      </c>
      <c r="D141" s="5">
        <v>3593946.203125</v>
      </c>
      <c r="E141" s="5">
        <v>7625803</v>
      </c>
      <c r="F141" s="5">
        <v>8591188.0625</v>
      </c>
      <c r="G141" s="3">
        <v>9</v>
      </c>
      <c r="H141" s="3">
        <v>12</v>
      </c>
      <c r="I141" s="3">
        <v>10</v>
      </c>
      <c r="J141" s="6">
        <v>10.524040253447634</v>
      </c>
      <c r="K141" s="6">
        <v>11.701010101010102</v>
      </c>
      <c r="L141" s="6">
        <v>8.934453462432959</v>
      </c>
    </row>
    <row r="142" spans="1:12" x14ac:dyDescent="0.25">
      <c r="A142" s="2" t="s">
        <v>1244</v>
      </c>
      <c r="B142" s="2" t="s">
        <v>1025</v>
      </c>
      <c r="C142" s="4">
        <v>59.8</v>
      </c>
      <c r="D142" s="5">
        <v>1438716.765625</v>
      </c>
      <c r="E142" s="5">
        <v>2435058.75</v>
      </c>
      <c r="F142" s="5">
        <v>756084.71875</v>
      </c>
      <c r="G142" s="3">
        <v>10</v>
      </c>
      <c r="H142" s="3">
        <v>9</v>
      </c>
      <c r="I142" s="3">
        <v>3</v>
      </c>
      <c r="J142" s="6">
        <v>11.693378059386259</v>
      </c>
      <c r="K142" s="6">
        <v>8.7757575757575754</v>
      </c>
      <c r="L142" s="6">
        <v>2.6803360387298878</v>
      </c>
    </row>
    <row r="143" spans="1:12" x14ac:dyDescent="0.25">
      <c r="A143" s="2" t="s">
        <v>1245</v>
      </c>
      <c r="B143" s="2" t="s">
        <v>1025</v>
      </c>
      <c r="C143" s="4">
        <v>10.7</v>
      </c>
      <c r="D143" s="5">
        <v>0</v>
      </c>
      <c r="E143" s="5">
        <v>646099.390625</v>
      </c>
      <c r="F143" s="5">
        <v>1777237.890625</v>
      </c>
      <c r="G143" s="3"/>
      <c r="H143" s="3">
        <v>3</v>
      </c>
      <c r="I143" s="3">
        <v>7</v>
      </c>
      <c r="J143" s="6" t="s">
        <v>986</v>
      </c>
      <c r="K143" s="6">
        <v>2.9252525252525254</v>
      </c>
      <c r="L143" s="6">
        <v>6.2541174237030717</v>
      </c>
    </row>
    <row r="144" spans="1:12" x14ac:dyDescent="0.25">
      <c r="A144" s="2" t="s">
        <v>1246</v>
      </c>
      <c r="B144" s="2" t="s">
        <v>1034</v>
      </c>
      <c r="C144" s="4">
        <v>17.399999999999999</v>
      </c>
      <c r="D144" s="5">
        <v>1762894.6875</v>
      </c>
      <c r="E144" s="5">
        <v>2066382.1875</v>
      </c>
      <c r="F144" s="5">
        <v>0</v>
      </c>
      <c r="G144" s="3">
        <v>4</v>
      </c>
      <c r="H144" s="3">
        <v>3</v>
      </c>
      <c r="I144" s="3"/>
      <c r="J144" s="6">
        <v>4.6773512237545036</v>
      </c>
      <c r="K144" s="6">
        <v>2.9252525252525254</v>
      </c>
      <c r="L144" s="6" t="s">
        <v>986</v>
      </c>
    </row>
    <row r="145" spans="1:12" x14ac:dyDescent="0.25">
      <c r="A145" s="2" t="s">
        <v>1247</v>
      </c>
      <c r="B145" s="2" t="s">
        <v>1034</v>
      </c>
      <c r="C145" s="4">
        <v>23.2</v>
      </c>
      <c r="D145" s="5">
        <v>7484541.25</v>
      </c>
      <c r="E145" s="5">
        <v>9964291.25</v>
      </c>
      <c r="F145" s="5">
        <v>8530058.5</v>
      </c>
      <c r="G145" s="3">
        <v>6</v>
      </c>
      <c r="H145" s="3">
        <v>8</v>
      </c>
      <c r="I145" s="3">
        <v>7</v>
      </c>
      <c r="J145" s="6">
        <v>7.0160268356317559</v>
      </c>
      <c r="K145" s="6">
        <v>7.8006734006734009</v>
      </c>
      <c r="L145" s="6">
        <v>6.2541174237030717</v>
      </c>
    </row>
    <row r="146" spans="1:12" x14ac:dyDescent="0.25">
      <c r="A146" s="2" t="s">
        <v>1248</v>
      </c>
      <c r="B146" s="2" t="s">
        <v>1249</v>
      </c>
      <c r="C146" s="4">
        <v>32</v>
      </c>
      <c r="D146" s="5">
        <v>6825992.25</v>
      </c>
      <c r="E146" s="5">
        <v>11484809.6875</v>
      </c>
      <c r="F146" s="5">
        <v>19031598.6875</v>
      </c>
      <c r="G146" s="3">
        <v>16</v>
      </c>
      <c r="H146" s="3">
        <v>14</v>
      </c>
      <c r="I146" s="3">
        <v>17</v>
      </c>
      <c r="J146" s="6">
        <v>18.709404895018015</v>
      </c>
      <c r="K146" s="6">
        <v>13.651178451178453</v>
      </c>
      <c r="L146" s="6">
        <v>15.188570886136031</v>
      </c>
    </row>
    <row r="147" spans="1:12" x14ac:dyDescent="0.25">
      <c r="A147" s="2" t="s">
        <v>1250</v>
      </c>
      <c r="B147" s="2" t="s">
        <v>1251</v>
      </c>
      <c r="C147" s="4">
        <v>63.1</v>
      </c>
      <c r="D147" s="5">
        <v>2791920.75</v>
      </c>
      <c r="E147" s="5">
        <v>7475827.9394531297</v>
      </c>
      <c r="F147" s="5">
        <v>7597734.0625</v>
      </c>
      <c r="G147" s="3">
        <v>32</v>
      </c>
      <c r="H147" s="3">
        <v>35</v>
      </c>
      <c r="I147" s="3">
        <v>26</v>
      </c>
      <c r="J147" s="6">
        <v>37.418809790036029</v>
      </c>
      <c r="K147" s="6">
        <v>34.127946127946132</v>
      </c>
      <c r="L147" s="6">
        <v>23.229579002325693</v>
      </c>
    </row>
    <row r="148" spans="1:12" x14ac:dyDescent="0.25">
      <c r="A148" s="2" t="s">
        <v>1252</v>
      </c>
      <c r="B148" s="2" t="s">
        <v>1253</v>
      </c>
      <c r="C148" s="4">
        <v>31.3</v>
      </c>
      <c r="D148" s="5">
        <v>2138582.40625</v>
      </c>
      <c r="E148" s="5">
        <v>2288699.9375</v>
      </c>
      <c r="F148" s="5">
        <v>2970581.90625</v>
      </c>
      <c r="G148" s="3">
        <v>12</v>
      </c>
      <c r="H148" s="3">
        <v>10</v>
      </c>
      <c r="I148" s="3">
        <v>12</v>
      </c>
      <c r="J148" s="6">
        <v>14.032053671263512</v>
      </c>
      <c r="K148" s="6">
        <v>9.7508417508417509</v>
      </c>
      <c r="L148" s="6">
        <v>10.721344154919551</v>
      </c>
    </row>
    <row r="149" spans="1:12" x14ac:dyDescent="0.25">
      <c r="A149" s="2" t="s">
        <v>1254</v>
      </c>
      <c r="B149" s="2" t="s">
        <v>1255</v>
      </c>
      <c r="C149" s="4">
        <v>52.1</v>
      </c>
      <c r="D149" s="5">
        <v>705419.78125</v>
      </c>
      <c r="E149" s="5">
        <v>749970.46875</v>
      </c>
      <c r="F149" s="5">
        <v>0</v>
      </c>
      <c r="G149" s="3">
        <v>5</v>
      </c>
      <c r="H149" s="3">
        <v>5</v>
      </c>
      <c r="I149" s="3"/>
      <c r="J149" s="6">
        <v>5.8466890296931293</v>
      </c>
      <c r="K149" s="6">
        <v>4.8754208754208754</v>
      </c>
      <c r="L149" s="6" t="s">
        <v>986</v>
      </c>
    </row>
    <row r="150" spans="1:12" x14ac:dyDescent="0.25">
      <c r="A150" s="2" t="s">
        <v>1256</v>
      </c>
      <c r="B150" s="2" t="s">
        <v>1257</v>
      </c>
      <c r="C150" s="4">
        <v>82.3</v>
      </c>
      <c r="D150" s="5">
        <v>10781067.328125</v>
      </c>
      <c r="E150" s="5">
        <v>13993184.40625</v>
      </c>
      <c r="F150" s="5">
        <v>15811735.1015625</v>
      </c>
      <c r="G150" s="3">
        <v>34</v>
      </c>
      <c r="H150" s="3">
        <v>27</v>
      </c>
      <c r="I150" s="3">
        <v>27</v>
      </c>
      <c r="J150" s="6">
        <v>39.757485401913286</v>
      </c>
      <c r="K150" s="6">
        <v>26.327272727272728</v>
      </c>
      <c r="L150" s="6">
        <v>24.12302434856899</v>
      </c>
    </row>
    <row r="151" spans="1:12" x14ac:dyDescent="0.25">
      <c r="A151" s="2" t="s">
        <v>1258</v>
      </c>
      <c r="B151" s="2" t="s">
        <v>1259</v>
      </c>
      <c r="C151" s="4">
        <v>38.299999999999997</v>
      </c>
      <c r="D151" s="5">
        <v>4108371.3125</v>
      </c>
      <c r="E151" s="5">
        <v>1983378.75</v>
      </c>
      <c r="F151" s="5">
        <v>1026597.84375</v>
      </c>
      <c r="G151" s="3">
        <v>19</v>
      </c>
      <c r="H151" s="3">
        <v>11</v>
      </c>
      <c r="I151" s="3">
        <v>8</v>
      </c>
      <c r="J151" s="6">
        <v>22.217418312833892</v>
      </c>
      <c r="K151" s="6">
        <v>10.725925925925926</v>
      </c>
      <c r="L151" s="6">
        <v>7.1475627699463677</v>
      </c>
    </row>
    <row r="152" spans="1:12" x14ac:dyDescent="0.25">
      <c r="A152" s="2" t="s">
        <v>1260</v>
      </c>
      <c r="B152" s="2" t="s">
        <v>1261</v>
      </c>
      <c r="C152" s="4">
        <v>46</v>
      </c>
      <c r="D152" s="5">
        <v>3313059.015625</v>
      </c>
      <c r="E152" s="5">
        <v>2387781.265625</v>
      </c>
      <c r="F152" s="5">
        <v>3222950.28125</v>
      </c>
      <c r="G152" s="3">
        <v>8</v>
      </c>
      <c r="H152" s="3">
        <v>10</v>
      </c>
      <c r="I152" s="3">
        <v>6</v>
      </c>
      <c r="J152" s="6">
        <v>9.3547024475090073</v>
      </c>
      <c r="K152" s="6">
        <v>9.7508417508417509</v>
      </c>
      <c r="L152" s="6">
        <v>5.3606720774597756</v>
      </c>
    </row>
    <row r="153" spans="1:12" x14ac:dyDescent="0.25">
      <c r="A153" s="2" t="s">
        <v>1262</v>
      </c>
      <c r="B153" s="2" t="s">
        <v>1036</v>
      </c>
      <c r="C153" s="4">
        <v>82.7</v>
      </c>
      <c r="D153" s="5">
        <v>4718694.796875</v>
      </c>
      <c r="E153" s="5">
        <v>6942532.609375</v>
      </c>
      <c r="F153" s="5">
        <v>6173456.0625</v>
      </c>
      <c r="G153" s="3">
        <v>12</v>
      </c>
      <c r="H153" s="3">
        <v>11</v>
      </c>
      <c r="I153" s="3">
        <v>11</v>
      </c>
      <c r="J153" s="6">
        <v>14.032053671263512</v>
      </c>
      <c r="K153" s="6">
        <v>10.725925925925926</v>
      </c>
      <c r="L153" s="6">
        <v>9.8278988086762542</v>
      </c>
    </row>
    <row r="154" spans="1:12" x14ac:dyDescent="0.25">
      <c r="A154" s="2" t="s">
        <v>1263</v>
      </c>
      <c r="B154" s="2" t="s">
        <v>1264</v>
      </c>
      <c r="C154" s="4">
        <v>19.8</v>
      </c>
      <c r="D154" s="5">
        <v>407423.63671875</v>
      </c>
      <c r="E154" s="5">
        <v>2339773.6875</v>
      </c>
      <c r="F154" s="5">
        <v>5119315.0625</v>
      </c>
      <c r="G154" s="3">
        <v>4</v>
      </c>
      <c r="H154" s="3">
        <v>4</v>
      </c>
      <c r="I154" s="3">
        <v>7</v>
      </c>
      <c r="J154" s="6">
        <v>4.6773512237545036</v>
      </c>
      <c r="K154" s="6">
        <v>3.9003367003367004</v>
      </c>
      <c r="L154" s="6">
        <v>6.2541174237030717</v>
      </c>
    </row>
    <row r="155" spans="1:12" x14ac:dyDescent="0.25">
      <c r="A155" s="2" t="s">
        <v>1265</v>
      </c>
      <c r="B155" s="2" t="s">
        <v>1025</v>
      </c>
      <c r="C155" s="4">
        <v>24.9</v>
      </c>
      <c r="D155" s="5">
        <v>0</v>
      </c>
      <c r="E155" s="5">
        <v>8253954.359375</v>
      </c>
      <c r="F155" s="5">
        <v>22588693.96875</v>
      </c>
      <c r="G155" s="3"/>
      <c r="H155" s="3">
        <v>12</v>
      </c>
      <c r="I155" s="3">
        <v>12</v>
      </c>
      <c r="J155" s="6" t="s">
        <v>986</v>
      </c>
      <c r="K155" s="6">
        <v>11.701010101010102</v>
      </c>
      <c r="L155" s="6">
        <v>10.721344154919551</v>
      </c>
    </row>
    <row r="156" spans="1:12" x14ac:dyDescent="0.25">
      <c r="A156" s="2" t="s">
        <v>1266</v>
      </c>
      <c r="B156" s="2" t="s">
        <v>1067</v>
      </c>
      <c r="C156" s="4">
        <v>16.5</v>
      </c>
      <c r="D156" s="5">
        <v>0</v>
      </c>
      <c r="E156" s="5">
        <v>516270.59375</v>
      </c>
      <c r="F156" s="5">
        <v>2338099.8125</v>
      </c>
      <c r="G156" s="3"/>
      <c r="H156" s="3">
        <v>6</v>
      </c>
      <c r="I156" s="3">
        <v>8</v>
      </c>
      <c r="J156" s="6" t="s">
        <v>986</v>
      </c>
      <c r="K156" s="6">
        <v>5.8505050505050509</v>
      </c>
      <c r="L156" s="6">
        <v>7.1475627699463677</v>
      </c>
    </row>
    <row r="157" spans="1:12" x14ac:dyDescent="0.25">
      <c r="A157" s="2" t="s">
        <v>1267</v>
      </c>
      <c r="B157" s="2" t="s">
        <v>1268</v>
      </c>
      <c r="C157" s="4">
        <v>71.400000000000006</v>
      </c>
      <c r="D157" s="5">
        <v>0</v>
      </c>
      <c r="E157" s="5">
        <v>554866.0625</v>
      </c>
      <c r="F157" s="5">
        <v>0</v>
      </c>
      <c r="G157" s="3"/>
      <c r="H157" s="3">
        <v>3</v>
      </c>
      <c r="I157" s="3"/>
      <c r="J157" s="6" t="s">
        <v>986</v>
      </c>
      <c r="K157" s="6">
        <v>2.9252525252525254</v>
      </c>
      <c r="L157" s="6" t="s">
        <v>986</v>
      </c>
    </row>
    <row r="158" spans="1:12" x14ac:dyDescent="0.25">
      <c r="A158" s="2" t="s">
        <v>1269</v>
      </c>
      <c r="B158" s="2" t="s">
        <v>1270</v>
      </c>
      <c r="C158" s="4">
        <v>12.2</v>
      </c>
      <c r="D158" s="5">
        <v>2375093.9375</v>
      </c>
      <c r="E158" s="5">
        <v>5583979.03125</v>
      </c>
      <c r="F158" s="5">
        <v>12067736.1875</v>
      </c>
      <c r="G158" s="3">
        <v>5</v>
      </c>
      <c r="H158" s="3">
        <v>9</v>
      </c>
      <c r="I158" s="3">
        <v>10</v>
      </c>
      <c r="J158" s="6">
        <v>5.8466890296931293</v>
      </c>
      <c r="K158" s="6">
        <v>8.7757575757575754</v>
      </c>
      <c r="L158" s="6">
        <v>8.934453462432959</v>
      </c>
    </row>
    <row r="159" spans="1:12" x14ac:dyDescent="0.25">
      <c r="A159" s="2" t="s">
        <v>1271</v>
      </c>
      <c r="B159" s="2" t="s">
        <v>1272</v>
      </c>
      <c r="C159" s="4">
        <v>29.2</v>
      </c>
      <c r="D159" s="5">
        <v>0</v>
      </c>
      <c r="E159" s="5">
        <v>940631.6875</v>
      </c>
      <c r="F159" s="5">
        <v>1446532.828125</v>
      </c>
      <c r="G159" s="3"/>
      <c r="H159" s="3">
        <v>12</v>
      </c>
      <c r="I159" s="3">
        <v>14</v>
      </c>
      <c r="J159" s="6" t="s">
        <v>986</v>
      </c>
      <c r="K159" s="6">
        <v>11.701010101010102</v>
      </c>
      <c r="L159" s="6">
        <v>12.508234847406143</v>
      </c>
    </row>
    <row r="160" spans="1:12" x14ac:dyDescent="0.25">
      <c r="A160" s="2" t="s">
        <v>1273</v>
      </c>
      <c r="B160" s="2" t="s">
        <v>1274</v>
      </c>
      <c r="C160" s="4">
        <v>24.7</v>
      </c>
      <c r="D160" s="5">
        <v>2563966.3125</v>
      </c>
      <c r="E160" s="5">
        <v>4076768.8125</v>
      </c>
      <c r="F160" s="5">
        <v>5092896.875</v>
      </c>
      <c r="G160" s="3">
        <v>8</v>
      </c>
      <c r="H160" s="3">
        <v>8</v>
      </c>
      <c r="I160" s="3">
        <v>8</v>
      </c>
      <c r="J160" s="6">
        <v>9.3547024475090073</v>
      </c>
      <c r="K160" s="6">
        <v>7.8006734006734009</v>
      </c>
      <c r="L160" s="6">
        <v>7.1475627699463677</v>
      </c>
    </row>
    <row r="161" spans="1:12" x14ac:dyDescent="0.25">
      <c r="A161" s="2" t="s">
        <v>1275</v>
      </c>
      <c r="B161" s="2" t="s">
        <v>1276</v>
      </c>
      <c r="C161" s="4">
        <v>163.5</v>
      </c>
      <c r="D161" s="5">
        <v>2169074.421875</v>
      </c>
      <c r="E161" s="5">
        <v>3027352.75</v>
      </c>
      <c r="F161" s="5">
        <v>3453647.5</v>
      </c>
      <c r="G161" s="3">
        <v>10</v>
      </c>
      <c r="H161" s="3">
        <v>12</v>
      </c>
      <c r="I161" s="3">
        <v>11</v>
      </c>
      <c r="J161" s="6">
        <v>11.693378059386259</v>
      </c>
      <c r="K161" s="6">
        <v>11.701010101010102</v>
      </c>
      <c r="L161" s="6">
        <v>9.8278988086762542</v>
      </c>
    </row>
    <row r="162" spans="1:12" x14ac:dyDescent="0.25">
      <c r="A162" s="2" t="s">
        <v>1277</v>
      </c>
      <c r="B162" s="2" t="s">
        <v>1278</v>
      </c>
      <c r="C162" s="4">
        <v>102.9</v>
      </c>
      <c r="D162" s="5">
        <v>0</v>
      </c>
      <c r="E162" s="5">
        <v>3375641.703125</v>
      </c>
      <c r="F162" s="5">
        <v>4441055.515625</v>
      </c>
      <c r="G162" s="3"/>
      <c r="H162" s="3">
        <v>5</v>
      </c>
      <c r="I162" s="3">
        <v>3</v>
      </c>
      <c r="J162" s="6" t="s">
        <v>986</v>
      </c>
      <c r="K162" s="6">
        <v>4.8754208754208754</v>
      </c>
      <c r="L162" s="6">
        <v>2.6803360387298878</v>
      </c>
    </row>
    <row r="163" spans="1:12" x14ac:dyDescent="0.25">
      <c r="A163" s="2" t="s">
        <v>1279</v>
      </c>
      <c r="B163" s="2" t="s">
        <v>1280</v>
      </c>
      <c r="C163" s="4">
        <v>45.2</v>
      </c>
      <c r="D163" s="5">
        <v>5404912.18359375</v>
      </c>
      <c r="E163" s="5">
        <v>16961247.3828125</v>
      </c>
      <c r="F163" s="5">
        <v>38784498.644531302</v>
      </c>
      <c r="G163" s="3">
        <v>12</v>
      </c>
      <c r="H163" s="3">
        <v>17</v>
      </c>
      <c r="I163" s="3">
        <v>22</v>
      </c>
      <c r="J163" s="6">
        <v>14.032053671263512</v>
      </c>
      <c r="K163" s="6">
        <v>16.576430976430977</v>
      </c>
      <c r="L163" s="6">
        <v>19.655797617352508</v>
      </c>
    </row>
    <row r="164" spans="1:12" x14ac:dyDescent="0.25">
      <c r="A164" s="2" t="s">
        <v>1281</v>
      </c>
      <c r="B164" s="2" t="s">
        <v>1048</v>
      </c>
      <c r="C164" s="4">
        <v>27.6</v>
      </c>
      <c r="D164" s="5">
        <v>0</v>
      </c>
      <c r="E164" s="5">
        <v>2635572.203125</v>
      </c>
      <c r="F164" s="5">
        <v>6459056.4375</v>
      </c>
      <c r="G164" s="3"/>
      <c r="H164" s="3">
        <v>12</v>
      </c>
      <c r="I164" s="3">
        <v>12</v>
      </c>
      <c r="J164" s="6" t="s">
        <v>986</v>
      </c>
      <c r="K164" s="6">
        <v>11.701010101010102</v>
      </c>
      <c r="L164" s="6">
        <v>10.721344154919551</v>
      </c>
    </row>
    <row r="165" spans="1:12" x14ac:dyDescent="0.25">
      <c r="A165" s="2" t="s">
        <v>1282</v>
      </c>
      <c r="B165" s="2" t="s">
        <v>1122</v>
      </c>
      <c r="C165" s="4">
        <v>24.6</v>
      </c>
      <c r="D165" s="5">
        <v>2919709.7265625</v>
      </c>
      <c r="E165" s="5">
        <v>2914880.375</v>
      </c>
      <c r="F165" s="5">
        <v>6085244.65625</v>
      </c>
      <c r="G165" s="3">
        <v>9</v>
      </c>
      <c r="H165" s="3">
        <v>8</v>
      </c>
      <c r="I165" s="3">
        <v>10</v>
      </c>
      <c r="J165" s="6">
        <v>10.524040253447634</v>
      </c>
      <c r="K165" s="6">
        <v>7.8006734006734009</v>
      </c>
      <c r="L165" s="6">
        <v>8.934453462432959</v>
      </c>
    </row>
    <row r="166" spans="1:12" x14ac:dyDescent="0.25">
      <c r="A166" s="2" t="s">
        <v>1283</v>
      </c>
      <c r="B166" s="2" t="s">
        <v>1029</v>
      </c>
      <c r="C166" s="4">
        <v>37.799999999999997</v>
      </c>
      <c r="D166" s="5">
        <v>1263914.2109375</v>
      </c>
      <c r="E166" s="5">
        <v>1179670.90625</v>
      </c>
      <c r="F166" s="5">
        <v>637375.890625</v>
      </c>
      <c r="G166" s="3">
        <v>7</v>
      </c>
      <c r="H166" s="3">
        <v>6</v>
      </c>
      <c r="I166" s="3">
        <v>4</v>
      </c>
      <c r="J166" s="6">
        <v>8.1853646415703807</v>
      </c>
      <c r="K166" s="6">
        <v>5.8505050505050509</v>
      </c>
      <c r="L166" s="6">
        <v>3.5737813849731839</v>
      </c>
    </row>
    <row r="167" spans="1:12" x14ac:dyDescent="0.25">
      <c r="A167" s="2" t="s">
        <v>1284</v>
      </c>
      <c r="B167" s="2" t="s">
        <v>1285</v>
      </c>
      <c r="C167" s="4">
        <v>27.7</v>
      </c>
      <c r="D167" s="5">
        <v>0</v>
      </c>
      <c r="E167" s="5">
        <v>2422297.75</v>
      </c>
      <c r="F167" s="5">
        <v>332301.9375</v>
      </c>
      <c r="G167" s="3">
        <v>5</v>
      </c>
      <c r="H167" s="3">
        <v>4</v>
      </c>
      <c r="I167" s="3">
        <v>3</v>
      </c>
      <c r="J167" s="6">
        <v>5.8466890296931293</v>
      </c>
      <c r="K167" s="6">
        <v>3.9003367003367004</v>
      </c>
      <c r="L167" s="6">
        <v>2.6803360387298878</v>
      </c>
    </row>
    <row r="168" spans="1:12" x14ac:dyDescent="0.25">
      <c r="A168" s="2" t="s">
        <v>1286</v>
      </c>
      <c r="B168" s="2" t="s">
        <v>1048</v>
      </c>
      <c r="C168" s="4">
        <v>26.1</v>
      </c>
      <c r="D168" s="5">
        <v>1059224.1503906299</v>
      </c>
      <c r="E168" s="5">
        <v>2493693.1875</v>
      </c>
      <c r="F168" s="5">
        <v>5217187.78125</v>
      </c>
      <c r="G168" s="3">
        <v>5</v>
      </c>
      <c r="H168" s="3">
        <v>5</v>
      </c>
      <c r="I168" s="3">
        <v>8</v>
      </c>
      <c r="J168" s="6">
        <v>5.8466890296931293</v>
      </c>
      <c r="K168" s="6">
        <v>4.8754208754208754</v>
      </c>
      <c r="L168" s="6">
        <v>7.1475627699463677</v>
      </c>
    </row>
    <row r="169" spans="1:12" x14ac:dyDescent="0.25">
      <c r="A169" s="2" t="s">
        <v>1287</v>
      </c>
      <c r="B169" s="2" t="s">
        <v>1288</v>
      </c>
      <c r="C169" s="4">
        <v>23</v>
      </c>
      <c r="D169" s="5">
        <v>0</v>
      </c>
      <c r="E169" s="5">
        <v>2257333.25</v>
      </c>
      <c r="F169" s="5">
        <v>0</v>
      </c>
      <c r="G169" s="3"/>
      <c r="H169" s="3">
        <v>4</v>
      </c>
      <c r="I169" s="3"/>
      <c r="J169" s="6" t="s">
        <v>986</v>
      </c>
      <c r="K169" s="6">
        <v>3.9003367003367004</v>
      </c>
      <c r="L169" s="6" t="s">
        <v>986</v>
      </c>
    </row>
    <row r="170" spans="1:12" x14ac:dyDescent="0.25">
      <c r="A170" s="2" t="s">
        <v>1289</v>
      </c>
      <c r="B170" s="2" t="s">
        <v>1290</v>
      </c>
      <c r="C170" s="4">
        <v>20.3</v>
      </c>
      <c r="D170" s="5">
        <v>26954380.765625</v>
      </c>
      <c r="E170" s="5">
        <v>55288524.921875</v>
      </c>
      <c r="F170" s="5">
        <v>114544711</v>
      </c>
      <c r="G170" s="3">
        <v>61</v>
      </c>
      <c r="H170" s="3">
        <v>74</v>
      </c>
      <c r="I170" s="3">
        <v>101</v>
      </c>
      <c r="J170" s="6">
        <v>71.329606162256184</v>
      </c>
      <c r="K170" s="6">
        <v>72.156228956228958</v>
      </c>
      <c r="L170" s="6">
        <v>90.237979970572894</v>
      </c>
    </row>
    <row r="171" spans="1:12" x14ac:dyDescent="0.25">
      <c r="A171" s="2" t="s">
        <v>1291</v>
      </c>
      <c r="B171" s="2" t="s">
        <v>1292</v>
      </c>
      <c r="C171" s="4">
        <v>63.9</v>
      </c>
      <c r="D171" s="5">
        <v>1848064.65625</v>
      </c>
      <c r="E171" s="5">
        <v>1329860</v>
      </c>
      <c r="F171" s="5">
        <v>2710133.6875</v>
      </c>
      <c r="G171" s="3">
        <v>52</v>
      </c>
      <c r="H171" s="3">
        <v>50</v>
      </c>
      <c r="I171" s="3">
        <v>51</v>
      </c>
      <c r="J171" s="6">
        <v>60.805565908808553</v>
      </c>
      <c r="K171" s="6">
        <v>48.754208754208754</v>
      </c>
      <c r="L171" s="6">
        <v>45.565712658408088</v>
      </c>
    </row>
    <row r="172" spans="1:12" x14ac:dyDescent="0.25">
      <c r="A172" s="2" t="s">
        <v>1293</v>
      </c>
      <c r="B172" s="2" t="s">
        <v>1039</v>
      </c>
      <c r="C172" s="4">
        <v>22</v>
      </c>
      <c r="D172" s="5">
        <v>180041.703125</v>
      </c>
      <c r="E172" s="5">
        <v>1119786.71875</v>
      </c>
      <c r="F172" s="5">
        <v>3819912.25</v>
      </c>
      <c r="G172" s="3">
        <v>5</v>
      </c>
      <c r="H172" s="3">
        <v>10</v>
      </c>
      <c r="I172" s="3">
        <v>13</v>
      </c>
      <c r="J172" s="6">
        <v>5.8466890296931293</v>
      </c>
      <c r="K172" s="6">
        <v>9.7508417508417509</v>
      </c>
      <c r="L172" s="6">
        <v>11.614789501162846</v>
      </c>
    </row>
    <row r="173" spans="1:12" x14ac:dyDescent="0.25">
      <c r="A173" s="2" t="s">
        <v>1294</v>
      </c>
      <c r="B173" s="2" t="s">
        <v>1041</v>
      </c>
      <c r="C173" s="4">
        <v>15.4</v>
      </c>
      <c r="D173" s="5">
        <v>412255.40625</v>
      </c>
      <c r="E173" s="5">
        <v>968852.6875</v>
      </c>
      <c r="F173" s="5">
        <v>2007448.375</v>
      </c>
      <c r="G173" s="3">
        <v>6</v>
      </c>
      <c r="H173" s="3">
        <v>9</v>
      </c>
      <c r="I173" s="3">
        <v>11</v>
      </c>
      <c r="J173" s="6">
        <v>7.0160268356317559</v>
      </c>
      <c r="K173" s="6">
        <v>8.7757575757575754</v>
      </c>
      <c r="L173" s="6">
        <v>9.8278988086762542</v>
      </c>
    </row>
    <row r="174" spans="1:12" x14ac:dyDescent="0.25">
      <c r="A174" s="2" t="s">
        <v>1295</v>
      </c>
      <c r="B174" s="2" t="s">
        <v>1203</v>
      </c>
      <c r="C174" s="4">
        <v>47.8</v>
      </c>
      <c r="D174" s="5">
        <v>463848.71875</v>
      </c>
      <c r="E174" s="5">
        <v>1969518.484375</v>
      </c>
      <c r="F174" s="5">
        <v>3505775.15625</v>
      </c>
      <c r="G174" s="3">
        <v>4</v>
      </c>
      <c r="H174" s="3">
        <v>8</v>
      </c>
      <c r="I174" s="3">
        <v>10</v>
      </c>
      <c r="J174" s="6">
        <v>4.6773512237545036</v>
      </c>
      <c r="K174" s="6">
        <v>7.8006734006734009</v>
      </c>
      <c r="L174" s="6">
        <v>8.934453462432959</v>
      </c>
    </row>
    <row r="175" spans="1:12" x14ac:dyDescent="0.25">
      <c r="A175" s="2" t="s">
        <v>1296</v>
      </c>
      <c r="B175" s="2" t="s">
        <v>1170</v>
      </c>
      <c r="C175" s="4">
        <v>91.7</v>
      </c>
      <c r="D175" s="5">
        <v>204831.546875</v>
      </c>
      <c r="E175" s="5">
        <v>508495.125</v>
      </c>
      <c r="F175" s="5">
        <v>592978.75</v>
      </c>
      <c r="G175" s="3">
        <v>8</v>
      </c>
      <c r="H175" s="3">
        <v>13</v>
      </c>
      <c r="I175" s="3">
        <v>13</v>
      </c>
      <c r="J175" s="6">
        <v>9.3547024475090073</v>
      </c>
      <c r="K175" s="6">
        <v>12.676094276094277</v>
      </c>
      <c r="L175" s="6">
        <v>11.614789501162846</v>
      </c>
    </row>
    <row r="176" spans="1:12" x14ac:dyDescent="0.25">
      <c r="A176" s="2" t="s">
        <v>1297</v>
      </c>
      <c r="B176" s="2" t="s">
        <v>1298</v>
      </c>
      <c r="C176" s="4">
        <v>58.4</v>
      </c>
      <c r="D176" s="5">
        <v>0</v>
      </c>
      <c r="E176" s="5">
        <v>835116.3125</v>
      </c>
      <c r="F176" s="5">
        <v>0</v>
      </c>
      <c r="G176" s="3"/>
      <c r="H176" s="3">
        <v>2</v>
      </c>
      <c r="I176" s="3"/>
      <c r="J176" s="6" t="s">
        <v>986</v>
      </c>
      <c r="K176" s="6">
        <v>1.9501683501683502</v>
      </c>
      <c r="L176" s="6" t="s">
        <v>986</v>
      </c>
    </row>
    <row r="177" spans="1:12" x14ac:dyDescent="0.25">
      <c r="A177" s="2" t="s">
        <v>1299</v>
      </c>
      <c r="B177" s="2" t="s">
        <v>1210</v>
      </c>
      <c r="C177" s="4">
        <v>37.700000000000003</v>
      </c>
      <c r="D177" s="5">
        <v>861041.3125</v>
      </c>
      <c r="E177" s="5">
        <v>504319.71875</v>
      </c>
      <c r="F177" s="5">
        <v>573766.6875</v>
      </c>
      <c r="G177" s="3">
        <v>7</v>
      </c>
      <c r="H177" s="3">
        <v>6</v>
      </c>
      <c r="I177" s="3">
        <v>5</v>
      </c>
      <c r="J177" s="6">
        <v>8.1853646415703807</v>
      </c>
      <c r="K177" s="6">
        <v>5.8505050505050509</v>
      </c>
      <c r="L177" s="6">
        <v>4.4672267312164795</v>
      </c>
    </row>
    <row r="178" spans="1:12" x14ac:dyDescent="0.25">
      <c r="A178" s="2" t="s">
        <v>1300</v>
      </c>
      <c r="B178" s="2" t="s">
        <v>1301</v>
      </c>
      <c r="C178" s="4">
        <v>42.8</v>
      </c>
      <c r="D178" s="5">
        <v>10532694.9375</v>
      </c>
      <c r="E178" s="5">
        <v>11884571</v>
      </c>
      <c r="F178" s="5">
        <v>12941870.28125</v>
      </c>
      <c r="G178" s="3">
        <v>20</v>
      </c>
      <c r="H178" s="3">
        <v>19</v>
      </c>
      <c r="I178" s="3">
        <v>16</v>
      </c>
      <c r="J178" s="6">
        <v>23.386756118772517</v>
      </c>
      <c r="K178" s="6">
        <v>18.526599326599328</v>
      </c>
      <c r="L178" s="6">
        <v>14.295125539892735</v>
      </c>
    </row>
    <row r="179" spans="1:12" x14ac:dyDescent="0.25">
      <c r="A179" s="2" t="s">
        <v>1302</v>
      </c>
      <c r="B179" s="2" t="s">
        <v>1046</v>
      </c>
      <c r="C179" s="4">
        <v>31.2</v>
      </c>
      <c r="D179" s="5">
        <v>2189789.734375</v>
      </c>
      <c r="E179" s="5">
        <v>0</v>
      </c>
      <c r="F179" s="5">
        <v>302756</v>
      </c>
      <c r="G179" s="3">
        <v>8</v>
      </c>
      <c r="H179" s="3">
        <v>8</v>
      </c>
      <c r="I179" s="3">
        <v>7</v>
      </c>
      <c r="J179" s="6">
        <v>9.3547024475090073</v>
      </c>
      <c r="K179" s="6">
        <v>7.8006734006734009</v>
      </c>
      <c r="L179" s="6">
        <v>6.2541174237030717</v>
      </c>
    </row>
    <row r="180" spans="1:12" x14ac:dyDescent="0.25">
      <c r="A180" s="2" t="s">
        <v>1303</v>
      </c>
      <c r="B180" s="2" t="s">
        <v>1304</v>
      </c>
      <c r="C180" s="4">
        <v>30.7</v>
      </c>
      <c r="D180" s="5">
        <v>2300810.4375</v>
      </c>
      <c r="E180" s="5">
        <v>3597641.34375</v>
      </c>
      <c r="F180" s="5">
        <v>2435147.0625</v>
      </c>
      <c r="G180" s="3">
        <v>7</v>
      </c>
      <c r="H180" s="3">
        <v>7</v>
      </c>
      <c r="I180" s="3">
        <v>5</v>
      </c>
      <c r="J180" s="6">
        <v>8.1853646415703807</v>
      </c>
      <c r="K180" s="6">
        <v>6.8255892255892263</v>
      </c>
      <c r="L180" s="6">
        <v>4.4672267312164795</v>
      </c>
    </row>
    <row r="181" spans="1:12" x14ac:dyDescent="0.25">
      <c r="A181" s="2" t="s">
        <v>1305</v>
      </c>
      <c r="B181" s="2" t="s">
        <v>1306</v>
      </c>
      <c r="C181" s="4">
        <v>105.5</v>
      </c>
      <c r="D181" s="5">
        <v>2870879.21875</v>
      </c>
      <c r="E181" s="5">
        <v>2653497.53125</v>
      </c>
      <c r="F181" s="5">
        <v>4086365.4375</v>
      </c>
      <c r="G181" s="3">
        <v>11</v>
      </c>
      <c r="H181" s="3">
        <v>12</v>
      </c>
      <c r="I181" s="3">
        <v>10</v>
      </c>
      <c r="J181" s="6">
        <v>12.862715865324887</v>
      </c>
      <c r="K181" s="6">
        <v>11.701010101010102</v>
      </c>
      <c r="L181" s="6">
        <v>8.934453462432959</v>
      </c>
    </row>
    <row r="182" spans="1:12" x14ac:dyDescent="0.25">
      <c r="A182" s="2" t="s">
        <v>1307</v>
      </c>
      <c r="B182" s="2" t="s">
        <v>1308</v>
      </c>
      <c r="C182" s="4">
        <v>53.2</v>
      </c>
      <c r="D182" s="5">
        <v>616051.4375</v>
      </c>
      <c r="E182" s="5">
        <v>862366.6875</v>
      </c>
      <c r="F182" s="5">
        <v>2768885.8125</v>
      </c>
      <c r="G182" s="3">
        <v>11</v>
      </c>
      <c r="H182" s="3">
        <v>13</v>
      </c>
      <c r="I182" s="3">
        <v>14</v>
      </c>
      <c r="J182" s="6">
        <v>12.862715865324887</v>
      </c>
      <c r="K182" s="6">
        <v>12.676094276094277</v>
      </c>
      <c r="L182" s="6">
        <v>12.508234847406143</v>
      </c>
    </row>
    <row r="183" spans="1:12" x14ac:dyDescent="0.25">
      <c r="A183" s="2" t="s">
        <v>1309</v>
      </c>
      <c r="B183" s="2" t="s">
        <v>1161</v>
      </c>
      <c r="C183" s="4">
        <v>50.5</v>
      </c>
      <c r="D183" s="5">
        <v>920400.671875</v>
      </c>
      <c r="E183" s="5">
        <v>1331915.125</v>
      </c>
      <c r="F183" s="5">
        <v>1243682.5625</v>
      </c>
      <c r="G183" s="3">
        <v>5</v>
      </c>
      <c r="H183" s="3">
        <v>5</v>
      </c>
      <c r="I183" s="3">
        <v>4</v>
      </c>
      <c r="J183" s="6">
        <v>5.8466890296931293</v>
      </c>
      <c r="K183" s="6">
        <v>4.8754208754208754</v>
      </c>
      <c r="L183" s="6">
        <v>3.5737813849731839</v>
      </c>
    </row>
    <row r="184" spans="1:12" x14ac:dyDescent="0.25">
      <c r="A184" s="2" t="s">
        <v>1310</v>
      </c>
      <c r="B184" s="2" t="s">
        <v>1311</v>
      </c>
      <c r="C184" s="4">
        <v>47.5</v>
      </c>
      <c r="D184" s="5">
        <v>659115.03125</v>
      </c>
      <c r="E184" s="5">
        <v>837859.65625</v>
      </c>
      <c r="F184" s="5">
        <v>0</v>
      </c>
      <c r="G184" s="3">
        <v>3</v>
      </c>
      <c r="H184" s="3">
        <v>3</v>
      </c>
      <c r="I184" s="3"/>
      <c r="J184" s="6">
        <v>3.5080134178158779</v>
      </c>
      <c r="K184" s="6">
        <v>2.9252525252525254</v>
      </c>
      <c r="L184" s="6" t="s">
        <v>986</v>
      </c>
    </row>
    <row r="185" spans="1:12" x14ac:dyDescent="0.25">
      <c r="A185" s="2" t="s">
        <v>1312</v>
      </c>
      <c r="B185" s="2" t="s">
        <v>1313</v>
      </c>
      <c r="C185" s="4">
        <v>37.200000000000003</v>
      </c>
      <c r="D185" s="5">
        <v>15846350.0859375</v>
      </c>
      <c r="E185" s="5">
        <v>27469719.625</v>
      </c>
      <c r="F185" s="5">
        <v>41283178.125</v>
      </c>
      <c r="G185" s="3">
        <v>38</v>
      </c>
      <c r="H185" s="3">
        <v>37</v>
      </c>
      <c r="I185" s="3">
        <v>37</v>
      </c>
      <c r="J185" s="6">
        <v>44.434836625667785</v>
      </c>
      <c r="K185" s="6">
        <v>36.078114478114479</v>
      </c>
      <c r="L185" s="6">
        <v>33.057477811001945</v>
      </c>
    </row>
    <row r="186" spans="1:12" x14ac:dyDescent="0.25">
      <c r="A186" s="2" t="s">
        <v>1314</v>
      </c>
      <c r="B186" s="2" t="s">
        <v>1315</v>
      </c>
      <c r="C186" s="4">
        <v>51.7</v>
      </c>
      <c r="D186" s="5">
        <v>1369863.3203125</v>
      </c>
      <c r="E186" s="5">
        <v>310619.78125</v>
      </c>
      <c r="F186" s="5">
        <v>1181838.65625</v>
      </c>
      <c r="G186" s="3">
        <v>7</v>
      </c>
      <c r="H186" s="3">
        <v>3</v>
      </c>
      <c r="I186" s="3">
        <v>4</v>
      </c>
      <c r="J186" s="6">
        <v>8.1853646415703807</v>
      </c>
      <c r="K186" s="6">
        <v>2.9252525252525254</v>
      </c>
      <c r="L186" s="6">
        <v>3.5737813849731839</v>
      </c>
    </row>
    <row r="187" spans="1:12" x14ac:dyDescent="0.25">
      <c r="A187" s="2" t="s">
        <v>1316</v>
      </c>
      <c r="B187" s="2" t="s">
        <v>1067</v>
      </c>
      <c r="C187" s="4">
        <v>53.8</v>
      </c>
      <c r="D187" s="5">
        <v>0</v>
      </c>
      <c r="E187" s="5">
        <v>1457392.75</v>
      </c>
      <c r="F187" s="5">
        <v>1586063.5</v>
      </c>
      <c r="G187" s="3"/>
      <c r="H187" s="3">
        <v>5</v>
      </c>
      <c r="I187" s="3">
        <v>4</v>
      </c>
      <c r="J187" s="6" t="s">
        <v>986</v>
      </c>
      <c r="K187" s="6">
        <v>4.8754208754208754</v>
      </c>
      <c r="L187" s="6">
        <v>3.5737813849731839</v>
      </c>
    </row>
    <row r="188" spans="1:12" x14ac:dyDescent="0.25">
      <c r="A188" s="2" t="s">
        <v>1317</v>
      </c>
      <c r="B188" s="2" t="s">
        <v>1318</v>
      </c>
      <c r="C188" s="4">
        <v>25.2</v>
      </c>
      <c r="D188" s="5">
        <v>10527518.75</v>
      </c>
      <c r="E188" s="5">
        <v>22434771.5</v>
      </c>
      <c r="F188" s="5">
        <v>26045996.375</v>
      </c>
      <c r="G188" s="3">
        <v>10</v>
      </c>
      <c r="H188" s="3">
        <v>10</v>
      </c>
      <c r="I188" s="3">
        <v>8</v>
      </c>
      <c r="J188" s="6">
        <v>11.693378059386259</v>
      </c>
      <c r="K188" s="6">
        <v>9.7508417508417509</v>
      </c>
      <c r="L188" s="6">
        <v>7.1475627699463677</v>
      </c>
    </row>
    <row r="189" spans="1:12" x14ac:dyDescent="0.25">
      <c r="A189" s="2" t="s">
        <v>1319</v>
      </c>
      <c r="B189" s="2" t="s">
        <v>1320</v>
      </c>
      <c r="C189" s="4">
        <v>14.4</v>
      </c>
      <c r="D189" s="5">
        <v>0</v>
      </c>
      <c r="E189" s="5">
        <v>4597609.75</v>
      </c>
      <c r="F189" s="5">
        <v>4925797.28125</v>
      </c>
      <c r="G189" s="3"/>
      <c r="H189" s="3">
        <v>5</v>
      </c>
      <c r="I189" s="3">
        <v>5</v>
      </c>
      <c r="J189" s="6" t="s">
        <v>986</v>
      </c>
      <c r="K189" s="6">
        <v>4.8754208754208754</v>
      </c>
      <c r="L189" s="6">
        <v>4.4672267312164795</v>
      </c>
    </row>
    <row r="190" spans="1:12" x14ac:dyDescent="0.25">
      <c r="A190" s="2" t="s">
        <v>1321</v>
      </c>
      <c r="B190" s="2" t="s">
        <v>1322</v>
      </c>
      <c r="C190" s="4">
        <v>44.6</v>
      </c>
      <c r="D190" s="5">
        <v>168711.578125</v>
      </c>
      <c r="E190" s="5">
        <v>1628264.375</v>
      </c>
      <c r="F190" s="5">
        <v>1258520.25</v>
      </c>
      <c r="G190" s="3">
        <v>10</v>
      </c>
      <c r="H190" s="3">
        <v>27</v>
      </c>
      <c r="I190" s="3">
        <v>36</v>
      </c>
      <c r="J190" s="6">
        <v>11.693378059386259</v>
      </c>
      <c r="K190" s="6">
        <v>26.327272727272728</v>
      </c>
      <c r="L190" s="6">
        <v>32.164032464758655</v>
      </c>
    </row>
    <row r="191" spans="1:12" x14ac:dyDescent="0.25">
      <c r="A191" s="2" t="s">
        <v>1323</v>
      </c>
      <c r="B191" s="2" t="s">
        <v>1324</v>
      </c>
      <c r="C191" s="4">
        <v>29.9</v>
      </c>
      <c r="D191" s="5">
        <v>2293314.421875</v>
      </c>
      <c r="E191" s="5">
        <v>2884331.53125</v>
      </c>
      <c r="F191" s="5">
        <v>0</v>
      </c>
      <c r="G191" s="3">
        <v>9</v>
      </c>
      <c r="H191" s="3">
        <v>8</v>
      </c>
      <c r="I191" s="3"/>
      <c r="J191" s="6">
        <v>10.524040253447634</v>
      </c>
      <c r="K191" s="6">
        <v>7.8006734006734009</v>
      </c>
      <c r="L191" s="6" t="s">
        <v>986</v>
      </c>
    </row>
    <row r="192" spans="1:12" x14ac:dyDescent="0.25">
      <c r="A192" s="2" t="s">
        <v>1325</v>
      </c>
      <c r="B192" s="2" t="s">
        <v>1326</v>
      </c>
      <c r="C192" s="4">
        <v>193.3</v>
      </c>
      <c r="D192" s="5">
        <v>245318.609375</v>
      </c>
      <c r="E192" s="5">
        <v>797846.84375</v>
      </c>
      <c r="F192" s="5">
        <v>1700748.09375</v>
      </c>
      <c r="G192" s="3">
        <v>44</v>
      </c>
      <c r="H192" s="3">
        <v>71</v>
      </c>
      <c r="I192" s="3">
        <v>81</v>
      </c>
      <c r="J192" s="6">
        <v>51.450863461299548</v>
      </c>
      <c r="K192" s="6">
        <v>69.23097643097644</v>
      </c>
      <c r="L192" s="6">
        <v>72.369073045706955</v>
      </c>
    </row>
    <row r="193" spans="1:12" x14ac:dyDescent="0.25">
      <c r="A193" s="2" t="s">
        <v>1327</v>
      </c>
      <c r="B193" s="2" t="s">
        <v>1328</v>
      </c>
      <c r="C193" s="4">
        <v>16.3</v>
      </c>
      <c r="D193" s="5">
        <v>0</v>
      </c>
      <c r="E193" s="5">
        <v>3265301.375</v>
      </c>
      <c r="F193" s="5">
        <v>0</v>
      </c>
      <c r="G193" s="3"/>
      <c r="H193" s="3">
        <v>4</v>
      </c>
      <c r="I193" s="3"/>
      <c r="J193" s="6" t="s">
        <v>986</v>
      </c>
      <c r="K193" s="6">
        <v>3.9003367003367004</v>
      </c>
      <c r="L193" s="6" t="s">
        <v>986</v>
      </c>
    </row>
    <row r="194" spans="1:12" x14ac:dyDescent="0.25">
      <c r="A194" s="2" t="s">
        <v>1329</v>
      </c>
      <c r="B194" s="2" t="s">
        <v>1001</v>
      </c>
      <c r="C194" s="4">
        <v>27.9</v>
      </c>
      <c r="D194" s="5">
        <v>3357095.59375</v>
      </c>
      <c r="E194" s="5">
        <v>4613335.6484375</v>
      </c>
      <c r="F194" s="5">
        <v>7281758.46875</v>
      </c>
      <c r="G194" s="3">
        <v>20</v>
      </c>
      <c r="H194" s="3">
        <v>21</v>
      </c>
      <c r="I194" s="3">
        <v>23</v>
      </c>
      <c r="J194" s="6">
        <v>23.386756118772517</v>
      </c>
      <c r="K194" s="6">
        <v>20.476767676767679</v>
      </c>
      <c r="L194" s="6">
        <v>20.549242963595805</v>
      </c>
    </row>
    <row r="195" spans="1:12" x14ac:dyDescent="0.25">
      <c r="A195" s="2" t="s">
        <v>1330</v>
      </c>
      <c r="B195" s="2" t="s">
        <v>1029</v>
      </c>
      <c r="C195" s="4">
        <v>55</v>
      </c>
      <c r="D195" s="5">
        <v>3060707.375</v>
      </c>
      <c r="E195" s="5">
        <v>4096462.25</v>
      </c>
      <c r="F195" s="5">
        <v>2999236.125</v>
      </c>
      <c r="G195" s="3">
        <v>11</v>
      </c>
      <c r="H195" s="3">
        <v>10</v>
      </c>
      <c r="I195" s="3">
        <v>8</v>
      </c>
      <c r="J195" s="6">
        <v>12.862715865324887</v>
      </c>
      <c r="K195" s="6">
        <v>9.7508417508417509</v>
      </c>
      <c r="L195" s="6">
        <v>7.1475627699463677</v>
      </c>
    </row>
    <row r="196" spans="1:12" x14ac:dyDescent="0.25">
      <c r="A196" s="2" t="s">
        <v>1331</v>
      </c>
      <c r="B196" s="2" t="s">
        <v>1298</v>
      </c>
      <c r="C196" s="4">
        <v>58.7</v>
      </c>
      <c r="D196" s="5">
        <v>284449.77636718802</v>
      </c>
      <c r="E196" s="5">
        <v>683096.19921875</v>
      </c>
      <c r="F196" s="5">
        <v>2227298.60546875</v>
      </c>
      <c r="G196" s="3">
        <v>3</v>
      </c>
      <c r="H196" s="3">
        <v>9</v>
      </c>
      <c r="I196" s="3">
        <v>9</v>
      </c>
      <c r="J196" s="6">
        <v>3.5080134178158779</v>
      </c>
      <c r="K196" s="6">
        <v>8.7757575757575754</v>
      </c>
      <c r="L196" s="6">
        <v>8.0410081161896638</v>
      </c>
    </row>
    <row r="197" spans="1:12" x14ac:dyDescent="0.25">
      <c r="A197" s="2" t="s">
        <v>1332</v>
      </c>
      <c r="B197" s="2" t="s">
        <v>1333</v>
      </c>
      <c r="C197" s="4">
        <v>63.7</v>
      </c>
      <c r="D197" s="5">
        <v>4226305.75</v>
      </c>
      <c r="E197" s="5">
        <v>3971204.375</v>
      </c>
      <c r="F197" s="5">
        <v>3593867</v>
      </c>
      <c r="G197" s="3">
        <v>11</v>
      </c>
      <c r="H197" s="3">
        <v>7</v>
      </c>
      <c r="I197" s="3">
        <v>7</v>
      </c>
      <c r="J197" s="6">
        <v>12.862715865324887</v>
      </c>
      <c r="K197" s="6">
        <v>6.8255892255892263</v>
      </c>
      <c r="L197" s="6">
        <v>6.2541174237030717</v>
      </c>
    </row>
    <row r="198" spans="1:12" x14ac:dyDescent="0.25">
      <c r="A198" s="2" t="s">
        <v>1334</v>
      </c>
      <c r="B198" s="2" t="s">
        <v>1335</v>
      </c>
      <c r="C198" s="4">
        <v>108.6</v>
      </c>
      <c r="D198" s="5">
        <v>0</v>
      </c>
      <c r="E198" s="5">
        <v>1454412.0625</v>
      </c>
      <c r="F198" s="5">
        <v>0</v>
      </c>
      <c r="G198" s="3"/>
      <c r="H198" s="3">
        <v>6</v>
      </c>
      <c r="I198" s="3"/>
      <c r="J198" s="6" t="s">
        <v>986</v>
      </c>
      <c r="K198" s="6">
        <v>5.8505050505050509</v>
      </c>
      <c r="L198" s="6" t="s">
        <v>986</v>
      </c>
    </row>
    <row r="199" spans="1:12" x14ac:dyDescent="0.25">
      <c r="A199" s="2" t="s">
        <v>1336</v>
      </c>
      <c r="B199" s="2" t="s">
        <v>1337</v>
      </c>
      <c r="C199" s="4">
        <v>110.3</v>
      </c>
      <c r="D199" s="5">
        <v>1274374.625</v>
      </c>
      <c r="E199" s="5">
        <v>1816765.6875</v>
      </c>
      <c r="F199" s="5">
        <v>3454219.25</v>
      </c>
      <c r="G199" s="3">
        <v>14</v>
      </c>
      <c r="H199" s="3">
        <v>20</v>
      </c>
      <c r="I199" s="3">
        <v>23</v>
      </c>
      <c r="J199" s="6">
        <v>16.370729283140761</v>
      </c>
      <c r="K199" s="6">
        <v>19.501683501683502</v>
      </c>
      <c r="L199" s="6">
        <v>20.549242963595805</v>
      </c>
    </row>
    <row r="200" spans="1:12" x14ac:dyDescent="0.25">
      <c r="A200" s="2" t="s">
        <v>1338</v>
      </c>
      <c r="B200" s="2" t="s">
        <v>1339</v>
      </c>
      <c r="C200" s="4">
        <v>46.5</v>
      </c>
      <c r="D200" s="5">
        <v>289306.234375</v>
      </c>
      <c r="E200" s="5">
        <v>1197397.875</v>
      </c>
      <c r="F200" s="5">
        <v>2046117.46875</v>
      </c>
      <c r="G200" s="3">
        <v>3</v>
      </c>
      <c r="H200" s="3">
        <v>4</v>
      </c>
      <c r="I200" s="3">
        <v>4</v>
      </c>
      <c r="J200" s="6">
        <v>3.5080134178158779</v>
      </c>
      <c r="K200" s="6">
        <v>3.9003367003367004</v>
      </c>
      <c r="L200" s="6">
        <v>3.5737813849731839</v>
      </c>
    </row>
    <row r="201" spans="1:12" x14ac:dyDescent="0.25">
      <c r="A201" s="2" t="s">
        <v>1340</v>
      </c>
      <c r="B201" s="2" t="s">
        <v>1170</v>
      </c>
      <c r="C201" s="4">
        <v>91.9</v>
      </c>
      <c r="D201" s="5">
        <v>754812.25</v>
      </c>
      <c r="E201" s="5">
        <v>1083686.125</v>
      </c>
      <c r="F201" s="5">
        <v>796225.6875</v>
      </c>
      <c r="G201" s="3">
        <v>10</v>
      </c>
      <c r="H201" s="3">
        <v>14</v>
      </c>
      <c r="I201" s="3">
        <v>14</v>
      </c>
      <c r="J201" s="6">
        <v>11.693378059386259</v>
      </c>
      <c r="K201" s="6">
        <v>13.651178451178453</v>
      </c>
      <c r="L201" s="6">
        <v>12.508234847406143</v>
      </c>
    </row>
    <row r="202" spans="1:12" x14ac:dyDescent="0.25">
      <c r="A202" s="2" t="s">
        <v>1341</v>
      </c>
      <c r="B202" s="2" t="s">
        <v>1147</v>
      </c>
      <c r="C202" s="4">
        <v>38.5</v>
      </c>
      <c r="D202" s="5">
        <v>722078.390625</v>
      </c>
      <c r="E202" s="5">
        <v>1635456.8125</v>
      </c>
      <c r="F202" s="5">
        <v>162452.828125</v>
      </c>
      <c r="G202" s="3">
        <v>3</v>
      </c>
      <c r="H202" s="3">
        <v>6</v>
      </c>
      <c r="I202" s="3">
        <v>4</v>
      </c>
      <c r="J202" s="6">
        <v>3.5080134178158779</v>
      </c>
      <c r="K202" s="6">
        <v>5.8505050505050509</v>
      </c>
      <c r="L202" s="6">
        <v>3.5737813849731839</v>
      </c>
    </row>
    <row r="203" spans="1:12" x14ac:dyDescent="0.25">
      <c r="A203" s="2" t="s">
        <v>1342</v>
      </c>
      <c r="B203" s="2" t="s">
        <v>1343</v>
      </c>
      <c r="C203" s="4">
        <v>41.9</v>
      </c>
      <c r="D203" s="5">
        <v>3068211.09375</v>
      </c>
      <c r="E203" s="5">
        <v>5137975.0625</v>
      </c>
      <c r="F203" s="5">
        <v>2616870.125</v>
      </c>
      <c r="G203" s="3">
        <v>14</v>
      </c>
      <c r="H203" s="3">
        <v>15</v>
      </c>
      <c r="I203" s="3">
        <v>15</v>
      </c>
      <c r="J203" s="6">
        <v>16.370729283140761</v>
      </c>
      <c r="K203" s="6">
        <v>14.626262626262626</v>
      </c>
      <c r="L203" s="6">
        <v>13.40168019364944</v>
      </c>
    </row>
    <row r="204" spans="1:12" x14ac:dyDescent="0.25">
      <c r="A204" s="2" t="s">
        <v>1344</v>
      </c>
      <c r="B204" s="2" t="s">
        <v>1080</v>
      </c>
      <c r="C204" s="4">
        <v>67.5</v>
      </c>
      <c r="D204" s="5">
        <v>693972.703125</v>
      </c>
      <c r="E204" s="5">
        <v>1331784.375</v>
      </c>
      <c r="F204" s="5">
        <v>1826200.8125</v>
      </c>
      <c r="G204" s="3">
        <v>3</v>
      </c>
      <c r="H204" s="3">
        <v>4</v>
      </c>
      <c r="I204" s="3">
        <v>5</v>
      </c>
      <c r="J204" s="6">
        <v>3.5080134178158779</v>
      </c>
      <c r="K204" s="6">
        <v>3.9003367003367004</v>
      </c>
      <c r="L204" s="6">
        <v>4.4672267312164795</v>
      </c>
    </row>
    <row r="205" spans="1:12" x14ac:dyDescent="0.25">
      <c r="A205" s="2" t="s">
        <v>1345</v>
      </c>
      <c r="B205" s="2" t="s">
        <v>1346</v>
      </c>
      <c r="C205" s="4">
        <v>36.6</v>
      </c>
      <c r="D205" s="5">
        <v>119395.4765625</v>
      </c>
      <c r="E205" s="5">
        <v>0</v>
      </c>
      <c r="F205" s="5">
        <v>0</v>
      </c>
      <c r="G205" s="3">
        <v>27</v>
      </c>
      <c r="H205" s="3">
        <v>24</v>
      </c>
      <c r="I205" s="3"/>
      <c r="J205" s="6">
        <v>31.572120760342898</v>
      </c>
      <c r="K205" s="6">
        <v>23.402020202020203</v>
      </c>
      <c r="L205" s="6" t="s">
        <v>986</v>
      </c>
    </row>
    <row r="206" spans="1:12" x14ac:dyDescent="0.25">
      <c r="A206" s="2" t="s">
        <v>1347</v>
      </c>
      <c r="B206" s="2" t="s">
        <v>1348</v>
      </c>
      <c r="C206" s="4">
        <v>36.1</v>
      </c>
      <c r="D206" s="5">
        <v>10457033.6875</v>
      </c>
      <c r="E206" s="5">
        <v>16920845.875</v>
      </c>
      <c r="F206" s="5">
        <v>92346223.1015625</v>
      </c>
      <c r="G206" s="3">
        <v>23</v>
      </c>
      <c r="H206" s="3">
        <v>23</v>
      </c>
      <c r="I206" s="3">
        <v>29</v>
      </c>
      <c r="J206" s="6">
        <v>26.894769536588395</v>
      </c>
      <c r="K206" s="6">
        <v>22.426936026936026</v>
      </c>
      <c r="L206" s="6">
        <v>25.90991504105558</v>
      </c>
    </row>
    <row r="207" spans="1:12" x14ac:dyDescent="0.25">
      <c r="A207" s="2" t="s">
        <v>1349</v>
      </c>
      <c r="B207" s="2" t="s">
        <v>1350</v>
      </c>
      <c r="C207" s="4">
        <v>59.9</v>
      </c>
      <c r="D207" s="5">
        <v>347692.34375</v>
      </c>
      <c r="E207" s="5">
        <v>879013.625</v>
      </c>
      <c r="F207" s="5">
        <v>3326286.375</v>
      </c>
      <c r="G207" s="3">
        <v>2</v>
      </c>
      <c r="H207" s="3">
        <v>4</v>
      </c>
      <c r="I207" s="3">
        <v>7</v>
      </c>
      <c r="J207" s="6">
        <v>2.3386756118772518</v>
      </c>
      <c r="K207" s="6">
        <v>3.9003367003367004</v>
      </c>
      <c r="L207" s="6">
        <v>6.2541174237030717</v>
      </c>
    </row>
    <row r="208" spans="1:12" x14ac:dyDescent="0.25">
      <c r="A208" s="2" t="s">
        <v>1351</v>
      </c>
      <c r="B208" s="2" t="s">
        <v>1251</v>
      </c>
      <c r="C208" s="4">
        <v>60.6</v>
      </c>
      <c r="D208" s="5">
        <v>0</v>
      </c>
      <c r="E208" s="5">
        <v>842649.5</v>
      </c>
      <c r="F208" s="5">
        <v>1101052.9375</v>
      </c>
      <c r="G208" s="3"/>
      <c r="H208" s="3">
        <v>3</v>
      </c>
      <c r="I208" s="3">
        <v>2</v>
      </c>
      <c r="J208" s="6" t="s">
        <v>986</v>
      </c>
      <c r="K208" s="6">
        <v>2.9252525252525254</v>
      </c>
      <c r="L208" s="6">
        <v>1.7868906924865919</v>
      </c>
    </row>
    <row r="209" spans="1:12" x14ac:dyDescent="0.25">
      <c r="A209" s="2" t="s">
        <v>1352</v>
      </c>
      <c r="B209" s="2" t="s">
        <v>1061</v>
      </c>
      <c r="C209" s="4">
        <v>20</v>
      </c>
      <c r="D209" s="5">
        <v>1664635.75</v>
      </c>
      <c r="E209" s="5">
        <v>1228355</v>
      </c>
      <c r="F209" s="5">
        <v>2589136</v>
      </c>
      <c r="G209" s="3">
        <v>4</v>
      </c>
      <c r="H209" s="3">
        <v>4</v>
      </c>
      <c r="I209" s="3">
        <v>4</v>
      </c>
      <c r="J209" s="6">
        <v>4.6773512237545036</v>
      </c>
      <c r="K209" s="6">
        <v>3.9003367003367004</v>
      </c>
      <c r="L209" s="6">
        <v>3.5737813849731839</v>
      </c>
    </row>
    <row r="210" spans="1:12" x14ac:dyDescent="0.25">
      <c r="A210" s="2" t="s">
        <v>1353</v>
      </c>
      <c r="B210" s="2" t="s">
        <v>1346</v>
      </c>
      <c r="C210" s="4">
        <v>44.4</v>
      </c>
      <c r="D210" s="5">
        <v>6737516.75</v>
      </c>
      <c r="E210" s="5">
        <v>8362291.640625</v>
      </c>
      <c r="F210" s="5">
        <v>40081924.53125</v>
      </c>
      <c r="G210" s="3">
        <v>39</v>
      </c>
      <c r="H210" s="3">
        <v>34</v>
      </c>
      <c r="I210" s="3">
        <v>32</v>
      </c>
      <c r="J210" s="6">
        <v>45.604174431606417</v>
      </c>
      <c r="K210" s="6">
        <v>33.152861952861954</v>
      </c>
      <c r="L210" s="6">
        <v>28.590251079785471</v>
      </c>
    </row>
    <row r="211" spans="1:12" x14ac:dyDescent="0.25">
      <c r="A211" s="2" t="s">
        <v>1354</v>
      </c>
      <c r="B211" s="2" t="s">
        <v>1355</v>
      </c>
      <c r="C211" s="4">
        <v>17.7</v>
      </c>
      <c r="D211" s="5">
        <v>0</v>
      </c>
      <c r="E211" s="5">
        <v>9395889.90625</v>
      </c>
      <c r="F211" s="5">
        <v>16873431.8125</v>
      </c>
      <c r="G211" s="3"/>
      <c r="H211" s="3">
        <v>12</v>
      </c>
      <c r="I211" s="3">
        <v>12</v>
      </c>
      <c r="J211" s="6" t="s">
        <v>986</v>
      </c>
      <c r="K211" s="6">
        <v>11.701010101010102</v>
      </c>
      <c r="L211" s="6">
        <v>10.721344154919551</v>
      </c>
    </row>
    <row r="212" spans="1:12" x14ac:dyDescent="0.25">
      <c r="A212" s="2" t="s">
        <v>1356</v>
      </c>
      <c r="B212" s="2" t="s">
        <v>1119</v>
      </c>
      <c r="C212" s="4">
        <v>53.1</v>
      </c>
      <c r="D212" s="5">
        <v>0</v>
      </c>
      <c r="E212" s="5">
        <v>465374.875</v>
      </c>
      <c r="F212" s="5">
        <v>807990.625</v>
      </c>
      <c r="G212" s="3"/>
      <c r="H212" s="3">
        <v>11</v>
      </c>
      <c r="I212" s="3">
        <v>13</v>
      </c>
      <c r="J212" s="6" t="s">
        <v>986</v>
      </c>
      <c r="K212" s="6">
        <v>10.725925925925926</v>
      </c>
      <c r="L212" s="6">
        <v>11.614789501162846</v>
      </c>
    </row>
    <row r="213" spans="1:12" x14ac:dyDescent="0.25">
      <c r="A213" s="2" t="s">
        <v>1357</v>
      </c>
      <c r="B213" s="2" t="s">
        <v>1251</v>
      </c>
      <c r="C213" s="4">
        <v>79.599999999999994</v>
      </c>
      <c r="D213" s="5">
        <v>2894543.4375</v>
      </c>
      <c r="E213" s="5">
        <v>4218859.75</v>
      </c>
      <c r="F213" s="5">
        <v>3691955.5</v>
      </c>
      <c r="G213" s="3">
        <v>7</v>
      </c>
      <c r="H213" s="3">
        <v>6</v>
      </c>
      <c r="I213" s="3">
        <v>4</v>
      </c>
      <c r="J213" s="6">
        <v>8.1853646415703807</v>
      </c>
      <c r="K213" s="6">
        <v>5.8505050505050509</v>
      </c>
      <c r="L213" s="6">
        <v>3.5737813849731839</v>
      </c>
    </row>
    <row r="214" spans="1:12" x14ac:dyDescent="0.25">
      <c r="A214" s="2" t="s">
        <v>1358</v>
      </c>
      <c r="B214" s="2" t="s">
        <v>1243</v>
      </c>
      <c r="C214" s="4">
        <v>31</v>
      </c>
      <c r="D214" s="5">
        <v>1569782.66015625</v>
      </c>
      <c r="E214" s="5">
        <v>2900736.90625</v>
      </c>
      <c r="F214" s="5">
        <v>2588106.5</v>
      </c>
      <c r="G214" s="3">
        <v>7</v>
      </c>
      <c r="H214" s="3">
        <v>7</v>
      </c>
      <c r="I214" s="3">
        <v>6</v>
      </c>
      <c r="J214" s="6">
        <v>8.1853646415703807</v>
      </c>
      <c r="K214" s="6">
        <v>6.8255892255892263</v>
      </c>
      <c r="L214" s="6">
        <v>5.3606720774597756</v>
      </c>
    </row>
    <row r="215" spans="1:12" x14ac:dyDescent="0.25">
      <c r="A215" s="2" t="s">
        <v>1359</v>
      </c>
      <c r="B215" s="2" t="s">
        <v>1084</v>
      </c>
      <c r="C215" s="4">
        <v>26</v>
      </c>
      <c r="D215" s="5">
        <v>1431796.90625</v>
      </c>
      <c r="E215" s="5">
        <v>760365.4375</v>
      </c>
      <c r="F215" s="5">
        <v>1187810.75</v>
      </c>
      <c r="G215" s="3">
        <v>9</v>
      </c>
      <c r="H215" s="3">
        <v>12</v>
      </c>
      <c r="I215" s="3">
        <v>11</v>
      </c>
      <c r="J215" s="6">
        <v>10.524040253447634</v>
      </c>
      <c r="K215" s="6">
        <v>11.701010101010102</v>
      </c>
      <c r="L215" s="6">
        <v>9.8278988086762542</v>
      </c>
    </row>
    <row r="216" spans="1:12" x14ac:dyDescent="0.25">
      <c r="A216" s="2" t="s">
        <v>1360</v>
      </c>
      <c r="B216" s="2" t="s">
        <v>1025</v>
      </c>
      <c r="C216" s="4">
        <v>35.799999999999997</v>
      </c>
      <c r="D216" s="5">
        <v>1522851.984375</v>
      </c>
      <c r="E216" s="5">
        <v>4242359.71875</v>
      </c>
      <c r="F216" s="5">
        <v>8112114.84375</v>
      </c>
      <c r="G216" s="3">
        <v>7</v>
      </c>
      <c r="H216" s="3">
        <v>13</v>
      </c>
      <c r="I216" s="3">
        <v>16</v>
      </c>
      <c r="J216" s="6">
        <v>8.1853646415703807</v>
      </c>
      <c r="K216" s="6">
        <v>12.676094276094277</v>
      </c>
      <c r="L216" s="6">
        <v>14.295125539892735</v>
      </c>
    </row>
    <row r="217" spans="1:12" x14ac:dyDescent="0.25">
      <c r="A217" s="2" t="s">
        <v>1361</v>
      </c>
      <c r="B217" s="2" t="s">
        <v>1362</v>
      </c>
      <c r="C217" s="4">
        <v>36.9</v>
      </c>
      <c r="D217" s="5">
        <v>20180355.28125</v>
      </c>
      <c r="E217" s="5">
        <v>30249127.875</v>
      </c>
      <c r="F217" s="5">
        <v>0</v>
      </c>
      <c r="G217" s="3">
        <v>22</v>
      </c>
      <c r="H217" s="3">
        <v>25</v>
      </c>
      <c r="I217" s="3"/>
      <c r="J217" s="6">
        <v>25.725431730649774</v>
      </c>
      <c r="K217" s="6">
        <v>24.377104377104377</v>
      </c>
      <c r="L217" s="6" t="s">
        <v>986</v>
      </c>
    </row>
    <row r="218" spans="1:12" x14ac:dyDescent="0.25">
      <c r="A218" s="2" t="s">
        <v>1363</v>
      </c>
      <c r="B218" s="2" t="s">
        <v>1362</v>
      </c>
      <c r="C218" s="4">
        <v>42.7</v>
      </c>
      <c r="D218" s="5">
        <v>3782934.3046875</v>
      </c>
      <c r="E218" s="5">
        <v>4456183.6875</v>
      </c>
      <c r="F218" s="5">
        <v>9385007.4375</v>
      </c>
      <c r="G218" s="3">
        <v>14</v>
      </c>
      <c r="H218" s="3">
        <v>15</v>
      </c>
      <c r="I218" s="3">
        <v>21</v>
      </c>
      <c r="J218" s="6">
        <v>16.370729283140761</v>
      </c>
      <c r="K218" s="6">
        <v>14.626262626262626</v>
      </c>
      <c r="L218" s="6">
        <v>18.762352271109215</v>
      </c>
    </row>
    <row r="219" spans="1:12" x14ac:dyDescent="0.25">
      <c r="A219" s="2" t="s">
        <v>1364</v>
      </c>
      <c r="B219" s="2" t="s">
        <v>1365</v>
      </c>
      <c r="C219" s="4">
        <v>18.600000000000001</v>
      </c>
      <c r="D219" s="5">
        <v>0</v>
      </c>
      <c r="E219" s="5">
        <v>2849607.875</v>
      </c>
      <c r="F219" s="5">
        <v>7276649.25</v>
      </c>
      <c r="G219" s="3"/>
      <c r="H219" s="3">
        <v>4</v>
      </c>
      <c r="I219" s="3">
        <v>6</v>
      </c>
      <c r="J219" s="6" t="s">
        <v>986</v>
      </c>
      <c r="K219" s="6">
        <v>3.9003367003367004</v>
      </c>
      <c r="L219" s="6">
        <v>5.3606720774597756</v>
      </c>
    </row>
    <row r="220" spans="1:12" x14ac:dyDescent="0.25">
      <c r="A220" s="2" t="s">
        <v>1366</v>
      </c>
      <c r="B220" s="2" t="s">
        <v>1367</v>
      </c>
      <c r="C220" s="4">
        <v>42.4</v>
      </c>
      <c r="D220" s="5">
        <v>0</v>
      </c>
      <c r="E220" s="5">
        <v>968889.359375</v>
      </c>
      <c r="F220" s="5">
        <v>2614329.96875</v>
      </c>
      <c r="G220" s="3"/>
      <c r="H220" s="3">
        <v>4</v>
      </c>
      <c r="I220" s="3">
        <v>7</v>
      </c>
      <c r="J220" s="6" t="s">
        <v>986</v>
      </c>
      <c r="K220" s="6">
        <v>3.9003367003367004</v>
      </c>
      <c r="L220" s="6">
        <v>6.2541174237030717</v>
      </c>
    </row>
    <row r="221" spans="1:12" x14ac:dyDescent="0.25">
      <c r="A221" s="2" t="s">
        <v>1368</v>
      </c>
      <c r="B221" s="2" t="s">
        <v>1369</v>
      </c>
      <c r="C221" s="4">
        <v>51.9</v>
      </c>
      <c r="D221" s="5">
        <v>10829167.65625</v>
      </c>
      <c r="E221" s="5">
        <v>18051772.875</v>
      </c>
      <c r="F221" s="5">
        <v>26661825.25</v>
      </c>
      <c r="G221" s="3">
        <v>15</v>
      </c>
      <c r="H221" s="3">
        <v>16</v>
      </c>
      <c r="I221" s="3">
        <v>17</v>
      </c>
      <c r="J221" s="6">
        <v>17.54006708907939</v>
      </c>
      <c r="K221" s="6">
        <v>15.601346801346802</v>
      </c>
      <c r="L221" s="6">
        <v>15.188570886136031</v>
      </c>
    </row>
    <row r="222" spans="1:12" x14ac:dyDescent="0.25">
      <c r="A222" s="2" t="s">
        <v>1370</v>
      </c>
      <c r="B222" s="2" t="s">
        <v>1371</v>
      </c>
      <c r="C222" s="4">
        <v>27.7</v>
      </c>
      <c r="D222" s="5">
        <v>4528540.09375</v>
      </c>
      <c r="E222" s="5">
        <v>7736582.1875</v>
      </c>
      <c r="F222" s="5">
        <v>12905437.1875</v>
      </c>
      <c r="G222" s="3">
        <v>6</v>
      </c>
      <c r="H222" s="3">
        <v>6</v>
      </c>
      <c r="I222" s="3">
        <v>8</v>
      </c>
      <c r="J222" s="6">
        <v>7.0160268356317559</v>
      </c>
      <c r="K222" s="6">
        <v>5.8505050505050509</v>
      </c>
      <c r="L222" s="6">
        <v>7.1475627699463677</v>
      </c>
    </row>
    <row r="223" spans="1:12" x14ac:dyDescent="0.25">
      <c r="A223" s="2" t="s">
        <v>1372</v>
      </c>
      <c r="B223" s="2" t="s">
        <v>1373</v>
      </c>
      <c r="C223" s="4">
        <v>31.3</v>
      </c>
      <c r="D223" s="5">
        <v>1063456.703125</v>
      </c>
      <c r="E223" s="5">
        <v>1843013.4375</v>
      </c>
      <c r="F223" s="5">
        <v>5032771.203125</v>
      </c>
      <c r="G223" s="3">
        <v>5</v>
      </c>
      <c r="H223" s="3">
        <v>5</v>
      </c>
      <c r="I223" s="3">
        <v>8</v>
      </c>
      <c r="J223" s="6">
        <v>5.8466890296931293</v>
      </c>
      <c r="K223" s="6">
        <v>4.8754208754208754</v>
      </c>
      <c r="L223" s="6">
        <v>7.1475627699463677</v>
      </c>
    </row>
    <row r="224" spans="1:12" x14ac:dyDescent="0.25">
      <c r="A224" s="2" t="s">
        <v>1374</v>
      </c>
      <c r="B224" s="2" t="s">
        <v>1167</v>
      </c>
      <c r="C224" s="4">
        <v>35.700000000000003</v>
      </c>
      <c r="D224" s="5">
        <v>770789.53125</v>
      </c>
      <c r="E224" s="5">
        <v>2007605.125</v>
      </c>
      <c r="F224" s="5">
        <v>1729460.125</v>
      </c>
      <c r="G224" s="3">
        <v>16</v>
      </c>
      <c r="H224" s="3">
        <v>13</v>
      </c>
      <c r="I224" s="3">
        <v>17</v>
      </c>
      <c r="J224" s="6">
        <v>18.709404895018015</v>
      </c>
      <c r="K224" s="6">
        <v>12.676094276094277</v>
      </c>
      <c r="L224" s="6">
        <v>15.188570886136031</v>
      </c>
    </row>
    <row r="225" spans="1:12" x14ac:dyDescent="0.25">
      <c r="A225" s="2" t="s">
        <v>1375</v>
      </c>
      <c r="B225" s="2" t="s">
        <v>1032</v>
      </c>
      <c r="C225" s="4">
        <v>26.4</v>
      </c>
      <c r="D225" s="5">
        <v>6133261.59375</v>
      </c>
      <c r="E225" s="5">
        <v>6453481.375</v>
      </c>
      <c r="F225" s="5">
        <v>11834290.75</v>
      </c>
      <c r="G225" s="3">
        <v>9</v>
      </c>
      <c r="H225" s="3">
        <v>9</v>
      </c>
      <c r="I225" s="3">
        <v>10</v>
      </c>
      <c r="J225" s="6">
        <v>10.524040253447634</v>
      </c>
      <c r="K225" s="6">
        <v>8.7757575757575754</v>
      </c>
      <c r="L225" s="6">
        <v>8.934453462432959</v>
      </c>
    </row>
    <row r="226" spans="1:12" x14ac:dyDescent="0.25">
      <c r="A226" s="2" t="s">
        <v>1376</v>
      </c>
      <c r="B226" s="2" t="s">
        <v>1073</v>
      </c>
      <c r="C226" s="4">
        <v>30.6</v>
      </c>
      <c r="D226" s="5">
        <v>8387855.625</v>
      </c>
      <c r="E226" s="5">
        <v>8194978.546875</v>
      </c>
      <c r="F226" s="5">
        <v>12541357.75</v>
      </c>
      <c r="G226" s="3">
        <v>24</v>
      </c>
      <c r="H226" s="3">
        <v>27</v>
      </c>
      <c r="I226" s="3">
        <v>28</v>
      </c>
      <c r="J226" s="6">
        <v>28.064107342527024</v>
      </c>
      <c r="K226" s="6">
        <v>26.327272727272728</v>
      </c>
      <c r="L226" s="6">
        <v>25.016469694812287</v>
      </c>
    </row>
    <row r="227" spans="1:12" x14ac:dyDescent="0.25">
      <c r="A227" s="2" t="s">
        <v>1377</v>
      </c>
      <c r="B227" s="2" t="s">
        <v>1094</v>
      </c>
      <c r="C227" s="4">
        <v>21.6</v>
      </c>
      <c r="D227" s="5">
        <v>609972.25</v>
      </c>
      <c r="E227" s="5">
        <v>1311977.25</v>
      </c>
      <c r="F227" s="5">
        <v>605338.1875</v>
      </c>
      <c r="G227" s="3">
        <v>4</v>
      </c>
      <c r="H227" s="3">
        <v>4</v>
      </c>
      <c r="I227" s="3">
        <v>4</v>
      </c>
      <c r="J227" s="6">
        <v>4.6773512237545036</v>
      </c>
      <c r="K227" s="6">
        <v>3.9003367003367004</v>
      </c>
      <c r="L227" s="6">
        <v>3.5737813849731839</v>
      </c>
    </row>
    <row r="228" spans="1:12" x14ac:dyDescent="0.25">
      <c r="A228" s="2" t="s">
        <v>1378</v>
      </c>
      <c r="B228" s="2" t="s">
        <v>1379</v>
      </c>
      <c r="C228" s="4">
        <v>62.3</v>
      </c>
      <c r="D228" s="5">
        <v>464752.5625</v>
      </c>
      <c r="E228" s="5">
        <v>768984.25</v>
      </c>
      <c r="F228" s="5">
        <v>1642478.34375</v>
      </c>
      <c r="G228" s="3">
        <v>2</v>
      </c>
      <c r="H228" s="3">
        <v>3</v>
      </c>
      <c r="I228" s="3">
        <v>5</v>
      </c>
      <c r="J228" s="6">
        <v>2.3386756118772518</v>
      </c>
      <c r="K228" s="6">
        <v>2.9252525252525254</v>
      </c>
      <c r="L228" s="6">
        <v>4.4672267312164795</v>
      </c>
    </row>
    <row r="229" spans="1:12" x14ac:dyDescent="0.25">
      <c r="A229" s="2" t="s">
        <v>1380</v>
      </c>
      <c r="B229" s="2" t="s">
        <v>1337</v>
      </c>
      <c r="C229" s="4">
        <v>109.9</v>
      </c>
      <c r="D229" s="5">
        <v>11250855.71875</v>
      </c>
      <c r="E229" s="5">
        <v>27571099.25</v>
      </c>
      <c r="F229" s="5">
        <v>35012280.984375</v>
      </c>
      <c r="G229" s="3">
        <v>52</v>
      </c>
      <c r="H229" s="3">
        <v>68</v>
      </c>
      <c r="I229" s="3">
        <v>75</v>
      </c>
      <c r="J229" s="6">
        <v>60.805565908808553</v>
      </c>
      <c r="K229" s="6">
        <v>66.305723905723909</v>
      </c>
      <c r="L229" s="6">
        <v>67.008400968247187</v>
      </c>
    </row>
    <row r="230" spans="1:12" x14ac:dyDescent="0.25">
      <c r="A230" s="2" t="s">
        <v>1381</v>
      </c>
      <c r="B230" s="2" t="s">
        <v>1285</v>
      </c>
      <c r="C230" s="4">
        <v>28.1</v>
      </c>
      <c r="D230" s="5">
        <v>1462780.25</v>
      </c>
      <c r="E230" s="5">
        <v>5139164.15625</v>
      </c>
      <c r="F230" s="5">
        <v>2871491</v>
      </c>
      <c r="G230" s="3">
        <v>6</v>
      </c>
      <c r="H230" s="3">
        <v>6</v>
      </c>
      <c r="I230" s="3">
        <v>5</v>
      </c>
      <c r="J230" s="6">
        <v>7.0160268356317559</v>
      </c>
      <c r="K230" s="6">
        <v>5.8505050505050509</v>
      </c>
      <c r="L230" s="6">
        <v>4.4672267312164795</v>
      </c>
    </row>
    <row r="231" spans="1:12" x14ac:dyDescent="0.25">
      <c r="A231" s="2" t="s">
        <v>1382</v>
      </c>
      <c r="B231" s="2" t="s">
        <v>1383</v>
      </c>
      <c r="C231" s="4">
        <v>93.9</v>
      </c>
      <c r="D231" s="5">
        <v>0</v>
      </c>
      <c r="E231" s="5">
        <v>2445674.125</v>
      </c>
      <c r="F231" s="5">
        <v>0</v>
      </c>
      <c r="G231" s="3"/>
      <c r="H231" s="3">
        <v>3</v>
      </c>
      <c r="I231" s="3"/>
      <c r="J231" s="6" t="s">
        <v>986</v>
      </c>
      <c r="K231" s="6">
        <v>2.9252525252525254</v>
      </c>
      <c r="L231" s="6" t="s">
        <v>986</v>
      </c>
    </row>
    <row r="232" spans="1:12" x14ac:dyDescent="0.25">
      <c r="A232" s="2" t="s">
        <v>1384</v>
      </c>
      <c r="B232" s="2" t="s">
        <v>1385</v>
      </c>
      <c r="C232" s="4">
        <v>48.1</v>
      </c>
      <c r="D232" s="5">
        <v>567011.15625</v>
      </c>
      <c r="E232" s="5">
        <v>1490888.625</v>
      </c>
      <c r="F232" s="5">
        <v>2209457.5</v>
      </c>
      <c r="G232" s="3">
        <v>6</v>
      </c>
      <c r="H232" s="3">
        <v>8</v>
      </c>
      <c r="I232" s="3">
        <v>16</v>
      </c>
      <c r="J232" s="6">
        <v>7.0160268356317559</v>
      </c>
      <c r="K232" s="6">
        <v>7.8006734006734009</v>
      </c>
      <c r="L232" s="6">
        <v>14.295125539892735</v>
      </c>
    </row>
    <row r="233" spans="1:12" x14ac:dyDescent="0.25">
      <c r="A233" s="2" t="s">
        <v>1386</v>
      </c>
      <c r="B233" s="2" t="s">
        <v>1387</v>
      </c>
      <c r="C233" s="4">
        <v>33</v>
      </c>
      <c r="D233" s="5">
        <v>2109534.34375</v>
      </c>
      <c r="E233" s="5">
        <v>3267009.65625</v>
      </c>
      <c r="F233" s="5">
        <v>3807082.28125</v>
      </c>
      <c r="G233" s="3">
        <v>12</v>
      </c>
      <c r="H233" s="3">
        <v>20</v>
      </c>
      <c r="I233" s="3">
        <v>24</v>
      </c>
      <c r="J233" s="6">
        <v>14.032053671263512</v>
      </c>
      <c r="K233" s="6">
        <v>19.501683501683502</v>
      </c>
      <c r="L233" s="6">
        <v>21.442688309839102</v>
      </c>
    </row>
    <row r="234" spans="1:12" x14ac:dyDescent="0.25">
      <c r="A234" s="2" t="s">
        <v>1388</v>
      </c>
      <c r="B234" s="2" t="s">
        <v>1389</v>
      </c>
      <c r="C234" s="4">
        <v>36.1</v>
      </c>
      <c r="D234" s="5">
        <v>1150092.375</v>
      </c>
      <c r="E234" s="5">
        <v>764591.9375</v>
      </c>
      <c r="F234" s="5">
        <v>1103420.4375</v>
      </c>
      <c r="G234" s="3">
        <v>3</v>
      </c>
      <c r="H234" s="3">
        <v>2</v>
      </c>
      <c r="I234" s="3">
        <v>2</v>
      </c>
      <c r="J234" s="6">
        <v>3.5080134178158779</v>
      </c>
      <c r="K234" s="6">
        <v>1.9501683501683502</v>
      </c>
      <c r="L234" s="6">
        <v>1.7868906924865919</v>
      </c>
    </row>
    <row r="235" spans="1:12" x14ac:dyDescent="0.25">
      <c r="A235" s="2" t="s">
        <v>1390</v>
      </c>
      <c r="B235" s="2" t="s">
        <v>1391</v>
      </c>
      <c r="C235" s="4">
        <v>18</v>
      </c>
      <c r="D235" s="5">
        <v>1369299.734375</v>
      </c>
      <c r="E235" s="5">
        <v>1993692.8125</v>
      </c>
      <c r="F235" s="5">
        <v>2669269.125</v>
      </c>
      <c r="G235" s="3">
        <v>5</v>
      </c>
      <c r="H235" s="3">
        <v>4</v>
      </c>
      <c r="I235" s="3">
        <v>4</v>
      </c>
      <c r="J235" s="6">
        <v>5.8466890296931293</v>
      </c>
      <c r="K235" s="6">
        <v>3.9003367003367004</v>
      </c>
      <c r="L235" s="6">
        <v>3.5737813849731839</v>
      </c>
    </row>
    <row r="236" spans="1:12" x14ac:dyDescent="0.25">
      <c r="A236" s="2" t="s">
        <v>1392</v>
      </c>
      <c r="B236" s="2" t="s">
        <v>1393</v>
      </c>
      <c r="C236" s="4">
        <v>21.3</v>
      </c>
      <c r="D236" s="5">
        <v>0</v>
      </c>
      <c r="E236" s="5">
        <v>17847894.5</v>
      </c>
      <c r="F236" s="5">
        <v>17307342</v>
      </c>
      <c r="G236" s="3"/>
      <c r="H236" s="3">
        <v>16</v>
      </c>
      <c r="I236" s="3">
        <v>16</v>
      </c>
      <c r="J236" s="6" t="s">
        <v>986</v>
      </c>
      <c r="K236" s="6">
        <v>15.601346801346802</v>
      </c>
      <c r="L236" s="6">
        <v>14.295125539892735</v>
      </c>
    </row>
    <row r="237" spans="1:12" x14ac:dyDescent="0.25">
      <c r="A237" s="2" t="s">
        <v>1394</v>
      </c>
      <c r="B237" s="2" t="s">
        <v>1395</v>
      </c>
      <c r="C237" s="4">
        <v>26.9</v>
      </c>
      <c r="D237" s="5">
        <v>3861790.0625</v>
      </c>
      <c r="E237" s="5">
        <v>6654138.71875</v>
      </c>
      <c r="F237" s="5">
        <v>9374221.875</v>
      </c>
      <c r="G237" s="3">
        <v>15</v>
      </c>
      <c r="H237" s="3">
        <v>12</v>
      </c>
      <c r="I237" s="3">
        <v>16</v>
      </c>
      <c r="J237" s="6">
        <v>17.54006708907939</v>
      </c>
      <c r="K237" s="6">
        <v>11.701010101010102</v>
      </c>
      <c r="L237" s="6">
        <v>14.295125539892735</v>
      </c>
    </row>
    <row r="238" spans="1:12" x14ac:dyDescent="0.25">
      <c r="A238" s="2" t="s">
        <v>1396</v>
      </c>
      <c r="B238" s="2" t="s">
        <v>1025</v>
      </c>
      <c r="C238" s="4">
        <v>70.8</v>
      </c>
      <c r="D238" s="5">
        <v>16777914.9609375</v>
      </c>
      <c r="E238" s="5">
        <v>1897958.859375</v>
      </c>
      <c r="F238" s="5">
        <v>0</v>
      </c>
      <c r="G238" s="3">
        <v>36</v>
      </c>
      <c r="H238" s="3">
        <v>36</v>
      </c>
      <c r="I238" s="3"/>
      <c r="J238" s="6">
        <v>42.096161013790535</v>
      </c>
      <c r="K238" s="6">
        <v>35.103030303030302</v>
      </c>
      <c r="L238" s="6" t="s">
        <v>986</v>
      </c>
    </row>
    <row r="239" spans="1:12" x14ac:dyDescent="0.25">
      <c r="A239" s="2" t="s">
        <v>1397</v>
      </c>
      <c r="B239" s="2" t="s">
        <v>1398</v>
      </c>
      <c r="C239" s="4">
        <v>38.5</v>
      </c>
      <c r="D239" s="5">
        <v>5750578.625</v>
      </c>
      <c r="E239" s="5">
        <v>8301652</v>
      </c>
      <c r="F239" s="5">
        <v>8733524.5</v>
      </c>
      <c r="G239" s="3">
        <v>29</v>
      </c>
      <c r="H239" s="3">
        <v>27</v>
      </c>
      <c r="I239" s="3">
        <v>29</v>
      </c>
      <c r="J239" s="6">
        <v>33.910796372220155</v>
      </c>
      <c r="K239" s="6">
        <v>26.327272727272728</v>
      </c>
      <c r="L239" s="6">
        <v>25.90991504105558</v>
      </c>
    </row>
    <row r="240" spans="1:12" x14ac:dyDescent="0.25">
      <c r="A240" s="2" t="s">
        <v>1399</v>
      </c>
      <c r="B240" s="2" t="s">
        <v>1400</v>
      </c>
      <c r="C240" s="4">
        <v>24.2</v>
      </c>
      <c r="D240" s="5">
        <v>0</v>
      </c>
      <c r="E240" s="5">
        <v>356616.6875</v>
      </c>
      <c r="F240" s="5">
        <v>641223.1875</v>
      </c>
      <c r="G240" s="3"/>
      <c r="H240" s="3">
        <v>6</v>
      </c>
      <c r="I240" s="3">
        <v>10</v>
      </c>
      <c r="J240" s="6" t="s">
        <v>986</v>
      </c>
      <c r="K240" s="6">
        <v>5.8505050505050509</v>
      </c>
      <c r="L240" s="6">
        <v>8.934453462432959</v>
      </c>
    </row>
    <row r="241" spans="1:12" x14ac:dyDescent="0.25">
      <c r="A241" s="2" t="s">
        <v>1401</v>
      </c>
      <c r="B241" s="2" t="s">
        <v>1402</v>
      </c>
      <c r="C241" s="4">
        <v>102.5</v>
      </c>
      <c r="D241" s="5">
        <v>1686721.90625</v>
      </c>
      <c r="E241" s="5">
        <v>2274567.9375</v>
      </c>
      <c r="F241" s="5">
        <v>2395386.875</v>
      </c>
      <c r="G241" s="3">
        <v>51</v>
      </c>
      <c r="H241" s="3">
        <v>39</v>
      </c>
      <c r="I241" s="3">
        <v>41</v>
      </c>
      <c r="J241" s="6">
        <v>59.636228102869929</v>
      </c>
      <c r="K241" s="6">
        <v>38.028282828282833</v>
      </c>
      <c r="L241" s="6">
        <v>36.631259195975133</v>
      </c>
    </row>
    <row r="242" spans="1:12" x14ac:dyDescent="0.25">
      <c r="A242" s="2" t="s">
        <v>1403</v>
      </c>
      <c r="B242" s="2" t="s">
        <v>1023</v>
      </c>
      <c r="C242" s="4">
        <v>24.4</v>
      </c>
      <c r="D242" s="5">
        <v>0</v>
      </c>
      <c r="E242" s="5">
        <v>4260761.875</v>
      </c>
      <c r="F242" s="5">
        <v>7382476.34375</v>
      </c>
      <c r="G242" s="3"/>
      <c r="H242" s="3">
        <v>4</v>
      </c>
      <c r="I242" s="3">
        <v>8</v>
      </c>
      <c r="J242" s="6" t="s">
        <v>986</v>
      </c>
      <c r="K242" s="6">
        <v>3.9003367003367004</v>
      </c>
      <c r="L242" s="6">
        <v>7.1475627699463677</v>
      </c>
    </row>
    <row r="243" spans="1:12" x14ac:dyDescent="0.25">
      <c r="A243" s="2" t="s">
        <v>1404</v>
      </c>
      <c r="B243" s="2" t="s">
        <v>1046</v>
      </c>
      <c r="C243" s="4">
        <v>27.3</v>
      </c>
      <c r="D243" s="5">
        <v>6869918.84375</v>
      </c>
      <c r="E243" s="5">
        <v>9725513.1875</v>
      </c>
      <c r="F243" s="5">
        <v>14922067.09375</v>
      </c>
      <c r="G243" s="3">
        <v>13</v>
      </c>
      <c r="H243" s="3">
        <v>12</v>
      </c>
      <c r="I243" s="3">
        <v>15</v>
      </c>
      <c r="J243" s="6">
        <v>15.201391477202138</v>
      </c>
      <c r="K243" s="6">
        <v>11.701010101010102</v>
      </c>
      <c r="L243" s="6">
        <v>13.40168019364944</v>
      </c>
    </row>
    <row r="244" spans="1:12" x14ac:dyDescent="0.25">
      <c r="A244" s="2" t="s">
        <v>1405</v>
      </c>
      <c r="B244" s="2" t="s">
        <v>1406</v>
      </c>
      <c r="C244" s="4">
        <v>70.7</v>
      </c>
      <c r="D244" s="5">
        <v>0</v>
      </c>
      <c r="E244" s="5">
        <v>592817.3125</v>
      </c>
      <c r="F244" s="5">
        <v>599709.2734375</v>
      </c>
      <c r="G244" s="3"/>
      <c r="H244" s="3">
        <v>3</v>
      </c>
      <c r="I244" s="3">
        <v>4</v>
      </c>
      <c r="J244" s="6" t="s">
        <v>986</v>
      </c>
      <c r="K244" s="6">
        <v>2.9252525252525254</v>
      </c>
      <c r="L244" s="6">
        <v>3.5737813849731839</v>
      </c>
    </row>
    <row r="245" spans="1:12" x14ac:dyDescent="0.25">
      <c r="A245" s="2" t="s">
        <v>1407</v>
      </c>
      <c r="B245" s="2" t="s">
        <v>1090</v>
      </c>
      <c r="C245" s="4">
        <v>53.1</v>
      </c>
      <c r="D245" s="5">
        <v>1976369.203125</v>
      </c>
      <c r="E245" s="5">
        <v>1556152.875</v>
      </c>
      <c r="F245" s="5">
        <v>3117984.8125</v>
      </c>
      <c r="G245" s="3">
        <v>11</v>
      </c>
      <c r="H245" s="3">
        <v>15</v>
      </c>
      <c r="I245" s="3">
        <v>18</v>
      </c>
      <c r="J245" s="6">
        <v>12.862715865324887</v>
      </c>
      <c r="K245" s="6">
        <v>14.626262626262626</v>
      </c>
      <c r="L245" s="6">
        <v>16.082016232379328</v>
      </c>
    </row>
    <row r="246" spans="1:12" x14ac:dyDescent="0.25">
      <c r="A246" s="2" t="s">
        <v>1408</v>
      </c>
      <c r="B246" s="2" t="s">
        <v>1409</v>
      </c>
      <c r="C246" s="4">
        <v>54.4</v>
      </c>
      <c r="D246" s="5">
        <v>825978.2578125</v>
      </c>
      <c r="E246" s="5">
        <v>834836.3203125</v>
      </c>
      <c r="F246" s="5">
        <v>1308311.328125</v>
      </c>
      <c r="G246" s="3">
        <v>17</v>
      </c>
      <c r="H246" s="3">
        <v>15</v>
      </c>
      <c r="I246" s="3">
        <v>12</v>
      </c>
      <c r="J246" s="6">
        <v>19.878742700956643</v>
      </c>
      <c r="K246" s="6">
        <v>14.626262626262626</v>
      </c>
      <c r="L246" s="6">
        <v>10.721344154919551</v>
      </c>
    </row>
    <row r="247" spans="1:12" x14ac:dyDescent="0.25">
      <c r="A247" s="2" t="s">
        <v>1410</v>
      </c>
      <c r="B247" s="2" t="s">
        <v>1086</v>
      </c>
      <c r="C247" s="4">
        <v>41.7</v>
      </c>
      <c r="D247" s="5">
        <v>1478312.84375</v>
      </c>
      <c r="E247" s="5">
        <v>2664092.5</v>
      </c>
      <c r="F247" s="5">
        <v>2710298.34375</v>
      </c>
      <c r="G247" s="3">
        <v>30</v>
      </c>
      <c r="H247" s="3">
        <v>26</v>
      </c>
      <c r="I247" s="3">
        <v>27</v>
      </c>
      <c r="J247" s="6">
        <v>35.080134178158779</v>
      </c>
      <c r="K247" s="6">
        <v>25.352188552188554</v>
      </c>
      <c r="L247" s="6">
        <v>24.12302434856899</v>
      </c>
    </row>
    <row r="248" spans="1:12" x14ac:dyDescent="0.25">
      <c r="A248" s="2" t="s">
        <v>1411</v>
      </c>
      <c r="B248" s="2" t="s">
        <v>1412</v>
      </c>
      <c r="C248" s="4">
        <v>38</v>
      </c>
      <c r="D248" s="5">
        <v>998625.46875</v>
      </c>
      <c r="E248" s="5">
        <v>1583955.46875</v>
      </c>
      <c r="F248" s="5">
        <v>3198207.6875</v>
      </c>
      <c r="G248" s="3">
        <v>4</v>
      </c>
      <c r="H248" s="3">
        <v>5</v>
      </c>
      <c r="I248" s="3">
        <v>7</v>
      </c>
      <c r="J248" s="6">
        <v>4.6773512237545036</v>
      </c>
      <c r="K248" s="6">
        <v>4.8754208754208754</v>
      </c>
      <c r="L248" s="6">
        <v>6.2541174237030717</v>
      </c>
    </row>
    <row r="249" spans="1:12" x14ac:dyDescent="0.25">
      <c r="A249" s="2" t="s">
        <v>1413</v>
      </c>
      <c r="B249" s="2" t="s">
        <v>1290</v>
      </c>
      <c r="C249" s="4">
        <v>20.2</v>
      </c>
      <c r="D249" s="5">
        <v>480110735.13476598</v>
      </c>
      <c r="E249" s="5">
        <v>837343082.58984399</v>
      </c>
      <c r="F249" s="5">
        <v>1538098505.9140601</v>
      </c>
      <c r="G249" s="3">
        <v>106</v>
      </c>
      <c r="H249" s="3">
        <v>150</v>
      </c>
      <c r="I249" s="3">
        <v>187</v>
      </c>
      <c r="J249" s="6">
        <v>123.94980742949436</v>
      </c>
      <c r="K249" s="6">
        <v>146.26262626262627</v>
      </c>
      <c r="L249" s="6">
        <v>167.07427974749632</v>
      </c>
    </row>
    <row r="250" spans="1:12" x14ac:dyDescent="0.25">
      <c r="A250" s="2" t="s">
        <v>1414</v>
      </c>
      <c r="B250" s="2" t="s">
        <v>1415</v>
      </c>
      <c r="C250" s="4">
        <v>39.5</v>
      </c>
      <c r="D250" s="5">
        <v>4272071.6953125</v>
      </c>
      <c r="E250" s="5">
        <v>5776652.265625</v>
      </c>
      <c r="F250" s="5">
        <v>5037722.875</v>
      </c>
      <c r="G250" s="3">
        <v>15</v>
      </c>
      <c r="H250" s="3">
        <v>10</v>
      </c>
      <c r="I250" s="3">
        <v>10</v>
      </c>
      <c r="J250" s="6">
        <v>17.54006708907939</v>
      </c>
      <c r="K250" s="6">
        <v>9.7508417508417509</v>
      </c>
      <c r="L250" s="6">
        <v>8.934453462432959</v>
      </c>
    </row>
    <row r="251" spans="1:12" x14ac:dyDescent="0.25">
      <c r="A251" s="2" t="s">
        <v>1416</v>
      </c>
      <c r="B251" s="2" t="s">
        <v>1147</v>
      </c>
      <c r="C251" s="4">
        <v>53.7</v>
      </c>
      <c r="D251" s="5">
        <v>4871931.0625</v>
      </c>
      <c r="E251" s="5">
        <v>5401887.75</v>
      </c>
      <c r="F251" s="5">
        <v>107592956.25</v>
      </c>
      <c r="G251" s="3">
        <v>37</v>
      </c>
      <c r="H251" s="3">
        <v>42</v>
      </c>
      <c r="I251" s="3">
        <v>38</v>
      </c>
      <c r="J251" s="6">
        <v>43.26549881972916</v>
      </c>
      <c r="K251" s="6">
        <v>40.953535353535358</v>
      </c>
      <c r="L251" s="6">
        <v>33.950923157245242</v>
      </c>
    </row>
    <row r="252" spans="1:12" x14ac:dyDescent="0.25">
      <c r="A252" s="2" t="s">
        <v>1417</v>
      </c>
      <c r="B252" s="2" t="s">
        <v>1106</v>
      </c>
      <c r="C252" s="4">
        <v>15.6</v>
      </c>
      <c r="D252" s="5">
        <v>200321.6875</v>
      </c>
      <c r="E252" s="5">
        <v>0</v>
      </c>
      <c r="F252" s="5">
        <v>283952.84375</v>
      </c>
      <c r="G252" s="3">
        <v>6</v>
      </c>
      <c r="H252" s="3">
        <v>5</v>
      </c>
      <c r="I252" s="3">
        <v>6</v>
      </c>
      <c r="J252" s="6">
        <v>7.0160268356317559</v>
      </c>
      <c r="K252" s="6">
        <v>4.8754208754208754</v>
      </c>
      <c r="L252" s="6">
        <v>5.3606720774597756</v>
      </c>
    </row>
    <row r="253" spans="1:12" x14ac:dyDescent="0.25">
      <c r="A253" s="2" t="s">
        <v>1418</v>
      </c>
      <c r="B253" s="2" t="s">
        <v>1009</v>
      </c>
      <c r="C253" s="4">
        <v>46</v>
      </c>
      <c r="D253" s="5">
        <v>3020162.96875</v>
      </c>
      <c r="E253" s="5">
        <v>3479821.125</v>
      </c>
      <c r="F253" s="5">
        <v>2517025.5</v>
      </c>
      <c r="G253" s="3">
        <v>8</v>
      </c>
      <c r="H253" s="3">
        <v>6</v>
      </c>
      <c r="I253" s="3">
        <v>4</v>
      </c>
      <c r="J253" s="6">
        <v>9.3547024475090073</v>
      </c>
      <c r="K253" s="6">
        <v>5.8505050505050509</v>
      </c>
      <c r="L253" s="6">
        <v>3.5737813849731839</v>
      </c>
    </row>
    <row r="254" spans="1:12" x14ac:dyDescent="0.25">
      <c r="A254" s="2" t="s">
        <v>1419</v>
      </c>
      <c r="B254" s="2" t="s">
        <v>1420</v>
      </c>
      <c r="C254" s="4">
        <v>27.2</v>
      </c>
      <c r="D254" s="5">
        <v>716854.85546875</v>
      </c>
      <c r="E254" s="5">
        <v>800925.6328125</v>
      </c>
      <c r="F254" s="5">
        <v>1222440.375</v>
      </c>
      <c r="G254" s="3">
        <v>18</v>
      </c>
      <c r="H254" s="3">
        <v>12</v>
      </c>
      <c r="I254" s="3">
        <v>12</v>
      </c>
      <c r="J254" s="6">
        <v>21.048080506895268</v>
      </c>
      <c r="K254" s="6">
        <v>11.701010101010102</v>
      </c>
      <c r="L254" s="6">
        <v>10.721344154919551</v>
      </c>
    </row>
    <row r="255" spans="1:12" x14ac:dyDescent="0.25">
      <c r="A255" s="2" t="s">
        <v>1421</v>
      </c>
      <c r="B255" s="2" t="s">
        <v>1420</v>
      </c>
      <c r="C255" s="4">
        <v>27.2</v>
      </c>
      <c r="D255" s="5">
        <v>2680703.0625</v>
      </c>
      <c r="E255" s="5">
        <v>3414453.375</v>
      </c>
      <c r="F255" s="5">
        <v>2911976.84375</v>
      </c>
      <c r="G255" s="3">
        <v>20</v>
      </c>
      <c r="H255" s="3">
        <v>15</v>
      </c>
      <c r="I255" s="3">
        <v>14</v>
      </c>
      <c r="J255" s="6">
        <v>23.386756118772517</v>
      </c>
      <c r="K255" s="6">
        <v>14.626262626262626</v>
      </c>
      <c r="L255" s="6">
        <v>12.508234847406143</v>
      </c>
    </row>
    <row r="256" spans="1:12" x14ac:dyDescent="0.25">
      <c r="A256" s="2" t="s">
        <v>1422</v>
      </c>
      <c r="B256" s="2" t="s">
        <v>1423</v>
      </c>
      <c r="C256" s="4">
        <v>42.8</v>
      </c>
      <c r="D256" s="5">
        <v>0</v>
      </c>
      <c r="E256" s="5">
        <v>19949591.5625</v>
      </c>
      <c r="F256" s="5">
        <v>18991710.40625</v>
      </c>
      <c r="G256" s="3"/>
      <c r="H256" s="3">
        <v>24</v>
      </c>
      <c r="I256" s="3">
        <v>20</v>
      </c>
      <c r="J256" s="6" t="s">
        <v>986</v>
      </c>
      <c r="K256" s="6">
        <v>23.402020202020203</v>
      </c>
      <c r="L256" s="6">
        <v>17.868906924865918</v>
      </c>
    </row>
    <row r="257" spans="1:12" x14ac:dyDescent="0.25">
      <c r="A257" s="2" t="s">
        <v>1424</v>
      </c>
      <c r="B257" s="2" t="s">
        <v>1029</v>
      </c>
      <c r="C257" s="4">
        <v>41</v>
      </c>
      <c r="D257" s="5">
        <v>4928534.5</v>
      </c>
      <c r="E257" s="5">
        <v>5035184.5625</v>
      </c>
      <c r="F257" s="5">
        <v>3866272.21875</v>
      </c>
      <c r="G257" s="3">
        <v>16</v>
      </c>
      <c r="H257" s="3">
        <v>13</v>
      </c>
      <c r="I257" s="3">
        <v>11</v>
      </c>
      <c r="J257" s="6">
        <v>18.709404895018015</v>
      </c>
      <c r="K257" s="6">
        <v>12.676094276094277</v>
      </c>
      <c r="L257" s="6">
        <v>9.8278988086762542</v>
      </c>
    </row>
    <row r="258" spans="1:12" x14ac:dyDescent="0.25">
      <c r="A258" s="2" t="s">
        <v>1425</v>
      </c>
      <c r="B258" s="2" t="s">
        <v>1426</v>
      </c>
      <c r="C258" s="4">
        <v>92.5</v>
      </c>
      <c r="D258" s="5">
        <v>1298811.3125</v>
      </c>
      <c r="E258" s="5">
        <v>2217376.9375</v>
      </c>
      <c r="F258" s="5">
        <v>4703522</v>
      </c>
      <c r="G258" s="3">
        <v>6</v>
      </c>
      <c r="H258" s="3">
        <v>4</v>
      </c>
      <c r="I258" s="3">
        <v>8</v>
      </c>
      <c r="J258" s="6">
        <v>7.0160268356317559</v>
      </c>
      <c r="K258" s="6">
        <v>3.9003367003367004</v>
      </c>
      <c r="L258" s="6">
        <v>7.1475627699463677</v>
      </c>
    </row>
    <row r="259" spans="1:12" x14ac:dyDescent="0.25">
      <c r="A259" s="2" t="s">
        <v>1427</v>
      </c>
      <c r="B259" s="2" t="s">
        <v>1046</v>
      </c>
      <c r="C259" s="4">
        <v>29.7</v>
      </c>
      <c r="D259" s="5">
        <v>413916.25</v>
      </c>
      <c r="E259" s="5">
        <v>1090288.0625</v>
      </c>
      <c r="F259" s="5">
        <v>2537808.125</v>
      </c>
      <c r="G259" s="3">
        <v>14</v>
      </c>
      <c r="H259" s="3">
        <v>15</v>
      </c>
      <c r="I259" s="3">
        <v>18</v>
      </c>
      <c r="J259" s="6">
        <v>16.370729283140761</v>
      </c>
      <c r="K259" s="6">
        <v>14.626262626262626</v>
      </c>
      <c r="L259" s="6">
        <v>16.082016232379328</v>
      </c>
    </row>
    <row r="260" spans="1:12" x14ac:dyDescent="0.25">
      <c r="A260" s="2" t="s">
        <v>1428</v>
      </c>
      <c r="B260" s="2" t="s">
        <v>1429</v>
      </c>
      <c r="C260" s="4">
        <v>27.4</v>
      </c>
      <c r="D260" s="5">
        <v>2202173.375</v>
      </c>
      <c r="E260" s="5">
        <v>8550506.5</v>
      </c>
      <c r="F260" s="5">
        <v>0</v>
      </c>
      <c r="G260" s="3">
        <v>5</v>
      </c>
      <c r="H260" s="3">
        <v>9</v>
      </c>
      <c r="I260" s="3"/>
      <c r="J260" s="6">
        <v>5.8466890296931293</v>
      </c>
      <c r="K260" s="6">
        <v>8.7757575757575754</v>
      </c>
      <c r="L260" s="6" t="s">
        <v>986</v>
      </c>
    </row>
    <row r="261" spans="1:12" x14ac:dyDescent="0.25">
      <c r="A261" s="2" t="s">
        <v>1430</v>
      </c>
      <c r="B261" s="2" t="s">
        <v>1048</v>
      </c>
      <c r="C261" s="4">
        <v>28.2</v>
      </c>
      <c r="D261" s="5">
        <v>280142.65625</v>
      </c>
      <c r="E261" s="5">
        <v>671294.1875</v>
      </c>
      <c r="F261" s="5">
        <v>2501322.375</v>
      </c>
      <c r="G261" s="3">
        <v>9</v>
      </c>
      <c r="H261" s="3">
        <v>11</v>
      </c>
      <c r="I261" s="3">
        <v>13</v>
      </c>
      <c r="J261" s="6">
        <v>10.524040253447634</v>
      </c>
      <c r="K261" s="6">
        <v>10.725925925925926</v>
      </c>
      <c r="L261" s="6">
        <v>11.614789501162846</v>
      </c>
    </row>
    <row r="262" spans="1:12" x14ac:dyDescent="0.25">
      <c r="A262" s="2" t="s">
        <v>1431</v>
      </c>
      <c r="B262" s="2" t="s">
        <v>1212</v>
      </c>
      <c r="C262" s="4">
        <v>54.8</v>
      </c>
      <c r="D262" s="5">
        <v>0</v>
      </c>
      <c r="E262" s="5">
        <v>563007.8125</v>
      </c>
      <c r="F262" s="5">
        <v>947747.625</v>
      </c>
      <c r="G262" s="3"/>
      <c r="H262" s="3">
        <v>9</v>
      </c>
      <c r="I262" s="3">
        <v>13</v>
      </c>
      <c r="J262" s="6" t="s">
        <v>986</v>
      </c>
      <c r="K262" s="6">
        <v>8.7757575757575754</v>
      </c>
      <c r="L262" s="6">
        <v>11.614789501162846</v>
      </c>
    </row>
    <row r="263" spans="1:12" x14ac:dyDescent="0.25">
      <c r="A263" s="2" t="s">
        <v>1432</v>
      </c>
      <c r="B263" s="2" t="s">
        <v>1433</v>
      </c>
      <c r="C263" s="4">
        <v>61.1</v>
      </c>
      <c r="D263" s="5">
        <v>1874076.4765625</v>
      </c>
      <c r="E263" s="5">
        <v>2899521.0625</v>
      </c>
      <c r="F263" s="5">
        <v>0</v>
      </c>
      <c r="G263" s="3">
        <v>7</v>
      </c>
      <c r="H263" s="3">
        <v>6</v>
      </c>
      <c r="I263" s="3"/>
      <c r="J263" s="6">
        <v>8.1853646415703807</v>
      </c>
      <c r="K263" s="6">
        <v>5.8505050505050509</v>
      </c>
      <c r="L263" s="6" t="s">
        <v>986</v>
      </c>
    </row>
    <row r="264" spans="1:12" x14ac:dyDescent="0.25">
      <c r="A264" s="2" t="s">
        <v>1434</v>
      </c>
      <c r="B264" s="2" t="s">
        <v>1435</v>
      </c>
      <c r="C264" s="4">
        <v>21.3</v>
      </c>
      <c r="D264" s="5">
        <v>0</v>
      </c>
      <c r="E264" s="5">
        <v>1985517.6875</v>
      </c>
      <c r="F264" s="5">
        <v>0</v>
      </c>
      <c r="G264" s="3"/>
      <c r="H264" s="3">
        <v>4</v>
      </c>
      <c r="I264" s="3"/>
      <c r="J264" s="6" t="s">
        <v>986</v>
      </c>
      <c r="K264" s="6">
        <v>3.9003367003367004</v>
      </c>
      <c r="L264" s="6" t="s">
        <v>986</v>
      </c>
    </row>
    <row r="265" spans="1:12" x14ac:dyDescent="0.25">
      <c r="A265" s="2" t="s">
        <v>1436</v>
      </c>
      <c r="B265" s="2" t="s">
        <v>1437</v>
      </c>
      <c r="C265" s="4">
        <v>47.5</v>
      </c>
      <c r="D265" s="5">
        <v>0</v>
      </c>
      <c r="E265" s="5">
        <v>2999103.40625</v>
      </c>
      <c r="F265" s="5">
        <v>2137118.53125</v>
      </c>
      <c r="G265" s="3"/>
      <c r="H265" s="3">
        <v>7</v>
      </c>
      <c r="I265" s="3">
        <v>4</v>
      </c>
      <c r="J265" s="6" t="s">
        <v>986</v>
      </c>
      <c r="K265" s="6">
        <v>6.8255892255892263</v>
      </c>
      <c r="L265" s="6">
        <v>3.5737813849731839</v>
      </c>
    </row>
    <row r="266" spans="1:12" x14ac:dyDescent="0.25">
      <c r="A266" s="2" t="s">
        <v>1438</v>
      </c>
      <c r="B266" s="2" t="s">
        <v>1025</v>
      </c>
      <c r="C266" s="4">
        <v>30.3</v>
      </c>
      <c r="D266" s="5">
        <v>454513.96875</v>
      </c>
      <c r="E266" s="5">
        <v>10723885.5</v>
      </c>
      <c r="F266" s="5">
        <v>13770694.125</v>
      </c>
      <c r="G266" s="3">
        <v>6</v>
      </c>
      <c r="H266" s="3">
        <v>9</v>
      </c>
      <c r="I266" s="3">
        <v>12</v>
      </c>
      <c r="J266" s="6">
        <v>7.0160268356317559</v>
      </c>
      <c r="K266" s="6">
        <v>8.7757575757575754</v>
      </c>
      <c r="L266" s="6">
        <v>10.721344154919551</v>
      </c>
    </row>
    <row r="267" spans="1:12" x14ac:dyDescent="0.25">
      <c r="A267" s="2" t="s">
        <v>1439</v>
      </c>
      <c r="B267" s="2" t="s">
        <v>1025</v>
      </c>
      <c r="C267" s="4">
        <v>30.3</v>
      </c>
      <c r="D267" s="5">
        <v>5915255.5</v>
      </c>
      <c r="E267" s="5">
        <v>7654243.75</v>
      </c>
      <c r="F267" s="5">
        <v>5000498.75</v>
      </c>
      <c r="G267" s="3">
        <v>8</v>
      </c>
      <c r="H267" s="3">
        <v>9</v>
      </c>
      <c r="I267" s="3">
        <v>10</v>
      </c>
      <c r="J267" s="6">
        <v>9.3547024475090073</v>
      </c>
      <c r="K267" s="6">
        <v>8.7757575757575754</v>
      </c>
      <c r="L267" s="6">
        <v>8.934453462432959</v>
      </c>
    </row>
    <row r="268" spans="1:12" x14ac:dyDescent="0.25">
      <c r="A268" s="2" t="s">
        <v>1440</v>
      </c>
      <c r="B268" s="2" t="s">
        <v>1441</v>
      </c>
      <c r="C268" s="4">
        <v>11.9</v>
      </c>
      <c r="D268" s="5">
        <v>1761316.3125</v>
      </c>
      <c r="E268" s="5">
        <v>1547461.4375</v>
      </c>
      <c r="F268" s="5">
        <v>0</v>
      </c>
      <c r="G268" s="3">
        <v>4</v>
      </c>
      <c r="H268" s="3">
        <v>3</v>
      </c>
      <c r="I268" s="3"/>
      <c r="J268" s="6">
        <v>4.6773512237545036</v>
      </c>
      <c r="K268" s="6">
        <v>2.9252525252525254</v>
      </c>
      <c r="L268" s="6" t="s">
        <v>986</v>
      </c>
    </row>
    <row r="269" spans="1:12" x14ac:dyDescent="0.25">
      <c r="A269" s="2" t="s">
        <v>1442</v>
      </c>
      <c r="B269" s="2" t="s">
        <v>1443</v>
      </c>
      <c r="C269" s="4">
        <v>17.399999999999999</v>
      </c>
      <c r="D269" s="5">
        <v>824698.84375</v>
      </c>
      <c r="E269" s="5">
        <v>2344096.25</v>
      </c>
      <c r="F269" s="5">
        <v>3351041.46875</v>
      </c>
      <c r="G269" s="3">
        <v>4</v>
      </c>
      <c r="H269" s="3">
        <v>6</v>
      </c>
      <c r="I269" s="3">
        <v>7</v>
      </c>
      <c r="J269" s="6">
        <v>4.6773512237545036</v>
      </c>
      <c r="K269" s="6">
        <v>5.8505050505050509</v>
      </c>
      <c r="L269" s="6">
        <v>6.2541174237030717</v>
      </c>
    </row>
    <row r="270" spans="1:12" x14ac:dyDescent="0.25">
      <c r="A270" s="2" t="s">
        <v>1444</v>
      </c>
      <c r="B270" s="2" t="s">
        <v>1073</v>
      </c>
      <c r="C270" s="4">
        <v>30.6</v>
      </c>
      <c r="D270" s="5">
        <v>10751395</v>
      </c>
      <c r="E270" s="5">
        <v>9056854.75</v>
      </c>
      <c r="F270" s="5">
        <v>12835585</v>
      </c>
      <c r="G270" s="3">
        <v>35</v>
      </c>
      <c r="H270" s="3">
        <v>34</v>
      </c>
      <c r="I270" s="3">
        <v>43</v>
      </c>
      <c r="J270" s="6">
        <v>40.926823207851911</v>
      </c>
      <c r="K270" s="6">
        <v>33.152861952861954</v>
      </c>
      <c r="L270" s="6">
        <v>38.41814988846172</v>
      </c>
    </row>
    <row r="271" spans="1:12" x14ac:dyDescent="0.25">
      <c r="A271" s="2" t="s">
        <v>1445</v>
      </c>
      <c r="B271" s="2" t="s">
        <v>1094</v>
      </c>
      <c r="C271" s="4">
        <v>21.1</v>
      </c>
      <c r="D271" s="5">
        <v>2850993.6875</v>
      </c>
      <c r="E271" s="5">
        <v>4029913.21875</v>
      </c>
      <c r="F271" s="5">
        <v>2096675.25</v>
      </c>
      <c r="G271" s="3">
        <v>8</v>
      </c>
      <c r="H271" s="3">
        <v>8</v>
      </c>
      <c r="I271" s="3">
        <v>8</v>
      </c>
      <c r="J271" s="6">
        <v>9.3547024475090073</v>
      </c>
      <c r="K271" s="6">
        <v>7.8006734006734009</v>
      </c>
      <c r="L271" s="6">
        <v>7.1475627699463677</v>
      </c>
    </row>
    <row r="272" spans="1:12" x14ac:dyDescent="0.25">
      <c r="A272" s="2" t="s">
        <v>1446</v>
      </c>
      <c r="B272" s="2" t="s">
        <v>1032</v>
      </c>
      <c r="C272" s="4">
        <v>42.8</v>
      </c>
      <c r="D272" s="5">
        <v>61206736.671875</v>
      </c>
      <c r="E272" s="5">
        <v>60617361.40625</v>
      </c>
      <c r="F272" s="5">
        <v>44838146.96875</v>
      </c>
      <c r="G272" s="3">
        <v>28</v>
      </c>
      <c r="H272" s="3">
        <v>24</v>
      </c>
      <c r="I272" s="3">
        <v>24</v>
      </c>
      <c r="J272" s="6">
        <v>32.741458566281523</v>
      </c>
      <c r="K272" s="6">
        <v>23.402020202020203</v>
      </c>
      <c r="L272" s="6">
        <v>21.442688309839102</v>
      </c>
    </row>
    <row r="273" spans="1:12" x14ac:dyDescent="0.25">
      <c r="A273" s="2" t="s">
        <v>1447</v>
      </c>
      <c r="B273" s="2" t="s">
        <v>1448</v>
      </c>
      <c r="C273" s="4">
        <v>17.100000000000001</v>
      </c>
      <c r="D273" s="5">
        <v>0</v>
      </c>
      <c r="E273" s="5">
        <v>3367506.6875</v>
      </c>
      <c r="F273" s="5">
        <v>7460661.9375</v>
      </c>
      <c r="G273" s="3"/>
      <c r="H273" s="3">
        <v>6</v>
      </c>
      <c r="I273" s="3">
        <v>6</v>
      </c>
      <c r="J273" s="6" t="s">
        <v>986</v>
      </c>
      <c r="K273" s="6">
        <v>5.8505050505050509</v>
      </c>
      <c r="L273" s="6">
        <v>5.3606720774597756</v>
      </c>
    </row>
    <row r="274" spans="1:12" x14ac:dyDescent="0.25">
      <c r="A274" s="2" t="s">
        <v>1449</v>
      </c>
      <c r="B274" s="2" t="s">
        <v>1450</v>
      </c>
      <c r="C274" s="4">
        <v>28</v>
      </c>
      <c r="D274" s="5">
        <v>1115736.25</v>
      </c>
      <c r="E274" s="5">
        <v>2559062.71875</v>
      </c>
      <c r="F274" s="5">
        <v>5724194.6875</v>
      </c>
      <c r="G274" s="3">
        <v>11</v>
      </c>
      <c r="H274" s="3">
        <v>19</v>
      </c>
      <c r="I274" s="3">
        <v>19</v>
      </c>
      <c r="J274" s="6">
        <v>12.862715865324887</v>
      </c>
      <c r="K274" s="6">
        <v>18.526599326599328</v>
      </c>
      <c r="L274" s="6">
        <v>16.975461578622621</v>
      </c>
    </row>
    <row r="275" spans="1:12" x14ac:dyDescent="0.25">
      <c r="A275" s="2" t="s">
        <v>1451</v>
      </c>
      <c r="B275" s="2" t="s">
        <v>1452</v>
      </c>
      <c r="C275" s="4">
        <v>138.5</v>
      </c>
      <c r="D275" s="5">
        <v>0</v>
      </c>
      <c r="E275" s="5">
        <v>6347348.140625</v>
      </c>
      <c r="F275" s="5">
        <v>12736194.671875</v>
      </c>
      <c r="G275" s="3"/>
      <c r="H275" s="3">
        <v>14</v>
      </c>
      <c r="I275" s="3">
        <v>18</v>
      </c>
      <c r="J275" s="6" t="s">
        <v>986</v>
      </c>
      <c r="K275" s="6">
        <v>13.651178451178453</v>
      </c>
      <c r="L275" s="6">
        <v>16.082016232379328</v>
      </c>
    </row>
    <row r="276" spans="1:12" x14ac:dyDescent="0.25">
      <c r="A276" s="2" t="s">
        <v>1453</v>
      </c>
      <c r="B276" s="2" t="s">
        <v>1454</v>
      </c>
      <c r="C276" s="4">
        <v>17.2</v>
      </c>
      <c r="D276" s="5">
        <v>0</v>
      </c>
      <c r="E276" s="5">
        <v>866171.265625</v>
      </c>
      <c r="F276" s="5">
        <v>0</v>
      </c>
      <c r="G276" s="3"/>
      <c r="H276" s="3">
        <v>3</v>
      </c>
      <c r="I276" s="3"/>
      <c r="J276" s="6" t="s">
        <v>986</v>
      </c>
      <c r="K276" s="6">
        <v>2.9252525252525254</v>
      </c>
      <c r="L276" s="6" t="s">
        <v>986</v>
      </c>
    </row>
    <row r="277" spans="1:12" x14ac:dyDescent="0.25">
      <c r="A277" s="2" t="s">
        <v>1455</v>
      </c>
      <c r="B277" s="2" t="s">
        <v>1456</v>
      </c>
      <c r="C277" s="4">
        <v>16.399999999999999</v>
      </c>
      <c r="D277" s="5">
        <v>0</v>
      </c>
      <c r="E277" s="5">
        <v>2891007.5625</v>
      </c>
      <c r="F277" s="5">
        <v>5484426.90625</v>
      </c>
      <c r="G277" s="3"/>
      <c r="H277" s="3">
        <v>5</v>
      </c>
      <c r="I277" s="3">
        <v>6</v>
      </c>
      <c r="J277" s="6" t="s">
        <v>986</v>
      </c>
      <c r="K277" s="6">
        <v>4.8754208754208754</v>
      </c>
      <c r="L277" s="6">
        <v>5.3606720774597756</v>
      </c>
    </row>
    <row r="278" spans="1:12" x14ac:dyDescent="0.25">
      <c r="A278" s="2" t="s">
        <v>1457</v>
      </c>
      <c r="B278" s="2" t="s">
        <v>1292</v>
      </c>
      <c r="C278" s="4">
        <v>63.7</v>
      </c>
      <c r="D278" s="5">
        <v>4292675.1875</v>
      </c>
      <c r="E278" s="5">
        <v>6424361.125</v>
      </c>
      <c r="F278" s="5">
        <v>6261243.390625</v>
      </c>
      <c r="G278" s="3">
        <v>52</v>
      </c>
      <c r="H278" s="3">
        <v>53</v>
      </c>
      <c r="I278" s="3">
        <v>54</v>
      </c>
      <c r="J278" s="6">
        <v>60.805565908808553</v>
      </c>
      <c r="K278" s="6">
        <v>51.679461279461286</v>
      </c>
      <c r="L278" s="6">
        <v>48.246048697137979</v>
      </c>
    </row>
    <row r="279" spans="1:12" x14ac:dyDescent="0.25">
      <c r="A279" s="2" t="s">
        <v>1458</v>
      </c>
      <c r="B279" s="2" t="s">
        <v>1061</v>
      </c>
      <c r="C279" s="4">
        <v>21.3</v>
      </c>
      <c r="D279" s="5">
        <v>926795.125</v>
      </c>
      <c r="E279" s="5">
        <v>6130204</v>
      </c>
      <c r="F279" s="5">
        <v>6025128</v>
      </c>
      <c r="G279" s="3">
        <v>3</v>
      </c>
      <c r="H279" s="3">
        <v>4</v>
      </c>
      <c r="I279" s="3">
        <v>4</v>
      </c>
      <c r="J279" s="6">
        <v>3.5080134178158779</v>
      </c>
      <c r="K279" s="6">
        <v>3.9003367003367004</v>
      </c>
      <c r="L279" s="6">
        <v>3.5737813849731839</v>
      </c>
    </row>
    <row r="280" spans="1:12" x14ac:dyDescent="0.25">
      <c r="A280" s="2" t="s">
        <v>1459</v>
      </c>
      <c r="B280" s="2" t="s">
        <v>1046</v>
      </c>
      <c r="C280" s="4">
        <v>31</v>
      </c>
      <c r="D280" s="5">
        <v>0</v>
      </c>
      <c r="E280" s="5">
        <v>108804.359375</v>
      </c>
      <c r="F280" s="5">
        <v>0</v>
      </c>
      <c r="G280" s="3"/>
      <c r="H280" s="3">
        <v>8</v>
      </c>
      <c r="I280" s="3">
        <v>7</v>
      </c>
      <c r="J280" s="6" t="s">
        <v>986</v>
      </c>
      <c r="K280" s="6">
        <v>7.8006734006734009</v>
      </c>
      <c r="L280" s="6">
        <v>6.2541174237030717</v>
      </c>
    </row>
    <row r="281" spans="1:12" x14ac:dyDescent="0.25">
      <c r="A281" s="2" t="s">
        <v>1460</v>
      </c>
      <c r="B281" s="2" t="s">
        <v>1167</v>
      </c>
      <c r="C281" s="4">
        <v>39.6</v>
      </c>
      <c r="D281" s="5">
        <v>0</v>
      </c>
      <c r="E281" s="5">
        <v>2202007.25</v>
      </c>
      <c r="F281" s="5">
        <v>3169482.78125</v>
      </c>
      <c r="G281" s="3"/>
      <c r="H281" s="3">
        <v>11</v>
      </c>
      <c r="I281" s="3">
        <v>8</v>
      </c>
      <c r="J281" s="6" t="s">
        <v>986</v>
      </c>
      <c r="K281" s="6">
        <v>10.725925925925926</v>
      </c>
      <c r="L281" s="6">
        <v>7.1475627699463677</v>
      </c>
    </row>
    <row r="282" spans="1:12" x14ac:dyDescent="0.25">
      <c r="A282" s="2" t="s">
        <v>1461</v>
      </c>
      <c r="B282" s="2" t="s">
        <v>1462</v>
      </c>
      <c r="C282" s="4">
        <v>29.6</v>
      </c>
      <c r="D282" s="5">
        <v>1352706.1171875</v>
      </c>
      <c r="E282" s="5">
        <v>646711.34375</v>
      </c>
      <c r="F282" s="5">
        <v>1273599.3671875</v>
      </c>
      <c r="G282" s="3">
        <v>7</v>
      </c>
      <c r="H282" s="3">
        <v>7</v>
      </c>
      <c r="I282" s="3">
        <v>7</v>
      </c>
      <c r="J282" s="6">
        <v>8.1853646415703807</v>
      </c>
      <c r="K282" s="6">
        <v>6.8255892255892263</v>
      </c>
      <c r="L282" s="6">
        <v>6.2541174237030717</v>
      </c>
    </row>
    <row r="283" spans="1:12" x14ac:dyDescent="0.25">
      <c r="A283" s="2" t="s">
        <v>1463</v>
      </c>
      <c r="B283" s="2" t="s">
        <v>1235</v>
      </c>
      <c r="C283" s="4">
        <v>72.900000000000006</v>
      </c>
      <c r="D283" s="5">
        <v>787186.0625</v>
      </c>
      <c r="E283" s="5">
        <v>1369568.875</v>
      </c>
      <c r="F283" s="5">
        <v>1885334</v>
      </c>
      <c r="G283" s="3">
        <v>18</v>
      </c>
      <c r="H283" s="3">
        <v>20</v>
      </c>
      <c r="I283" s="3">
        <v>21</v>
      </c>
      <c r="J283" s="6">
        <v>21.048080506895268</v>
      </c>
      <c r="K283" s="6">
        <v>19.501683501683502</v>
      </c>
      <c r="L283" s="6">
        <v>18.762352271109215</v>
      </c>
    </row>
    <row r="284" spans="1:12" x14ac:dyDescent="0.25">
      <c r="A284" s="2" t="s">
        <v>1464</v>
      </c>
      <c r="B284" s="2" t="s">
        <v>1465</v>
      </c>
      <c r="C284" s="4">
        <v>71.8</v>
      </c>
      <c r="D284" s="5">
        <v>1519996.625</v>
      </c>
      <c r="E284" s="5">
        <v>1828455.75</v>
      </c>
      <c r="F284" s="5">
        <v>863054.1875</v>
      </c>
      <c r="G284" s="3">
        <v>12</v>
      </c>
      <c r="H284" s="3">
        <v>10</v>
      </c>
      <c r="I284" s="3">
        <v>9</v>
      </c>
      <c r="J284" s="6">
        <v>14.032053671263512</v>
      </c>
      <c r="K284" s="6">
        <v>9.7508417508417509</v>
      </c>
      <c r="L284" s="6">
        <v>8.0410081161896638</v>
      </c>
    </row>
    <row r="285" spans="1:12" x14ac:dyDescent="0.25">
      <c r="A285" s="2" t="s">
        <v>1466</v>
      </c>
      <c r="B285" s="2" t="s">
        <v>1467</v>
      </c>
      <c r="C285" s="4">
        <v>29.8</v>
      </c>
      <c r="D285" s="5">
        <v>0</v>
      </c>
      <c r="E285" s="5">
        <v>529544.125</v>
      </c>
      <c r="F285" s="5">
        <v>718566.3125</v>
      </c>
      <c r="G285" s="3"/>
      <c r="H285" s="3">
        <v>4</v>
      </c>
      <c r="I285" s="3">
        <v>5</v>
      </c>
      <c r="J285" s="6" t="s">
        <v>986</v>
      </c>
      <c r="K285" s="6">
        <v>3.9003367003367004</v>
      </c>
      <c r="L285" s="6">
        <v>4.4672267312164795</v>
      </c>
    </row>
    <row r="286" spans="1:12" x14ac:dyDescent="0.25">
      <c r="A286" s="2" t="s">
        <v>1468</v>
      </c>
      <c r="B286" s="2" t="s">
        <v>1217</v>
      </c>
      <c r="C286" s="4">
        <v>56.9</v>
      </c>
      <c r="D286" s="5">
        <v>391413.515625</v>
      </c>
      <c r="E286" s="5">
        <v>0</v>
      </c>
      <c r="F286" s="5">
        <v>0</v>
      </c>
      <c r="G286" s="3">
        <v>8</v>
      </c>
      <c r="H286" s="3">
        <v>15</v>
      </c>
      <c r="I286" s="3">
        <v>16</v>
      </c>
      <c r="J286" s="6">
        <v>9.3547024475090073</v>
      </c>
      <c r="K286" s="6">
        <v>14.626262626262626</v>
      </c>
      <c r="L286" s="6">
        <v>14.295125539892735</v>
      </c>
    </row>
    <row r="287" spans="1:12" x14ac:dyDescent="0.25">
      <c r="A287" s="2" t="s">
        <v>1469</v>
      </c>
      <c r="B287" s="2" t="s">
        <v>1073</v>
      </c>
      <c r="C287" s="4">
        <v>29.8</v>
      </c>
      <c r="D287" s="5">
        <v>44989893.6875</v>
      </c>
      <c r="E287" s="5">
        <v>37710396.640625</v>
      </c>
      <c r="F287" s="5">
        <v>64631543.265625</v>
      </c>
      <c r="G287" s="3">
        <v>22</v>
      </c>
      <c r="H287" s="3">
        <v>25</v>
      </c>
      <c r="I287" s="3">
        <v>29</v>
      </c>
      <c r="J287" s="6">
        <v>25.725431730649774</v>
      </c>
      <c r="K287" s="6">
        <v>24.377104377104377</v>
      </c>
      <c r="L287" s="6">
        <v>25.90991504105558</v>
      </c>
    </row>
    <row r="288" spans="1:12" x14ac:dyDescent="0.25">
      <c r="A288" s="2" t="s">
        <v>1470</v>
      </c>
      <c r="B288" s="2" t="s">
        <v>1119</v>
      </c>
      <c r="C288" s="4">
        <v>49.9</v>
      </c>
      <c r="D288" s="5">
        <v>4079456.1953125</v>
      </c>
      <c r="E288" s="5">
        <v>7172972.30078125</v>
      </c>
      <c r="F288" s="5">
        <v>13210457.3320313</v>
      </c>
      <c r="G288" s="3">
        <v>16</v>
      </c>
      <c r="H288" s="3">
        <v>15</v>
      </c>
      <c r="I288" s="3">
        <v>19</v>
      </c>
      <c r="J288" s="6">
        <v>18.709404895018015</v>
      </c>
      <c r="K288" s="6">
        <v>14.626262626262626</v>
      </c>
      <c r="L288" s="6">
        <v>16.975461578622621</v>
      </c>
    </row>
    <row r="289" spans="1:12" x14ac:dyDescent="0.25">
      <c r="A289" s="2" t="s">
        <v>1471</v>
      </c>
      <c r="B289" s="2" t="s">
        <v>1472</v>
      </c>
      <c r="C289" s="4">
        <v>56.1</v>
      </c>
      <c r="D289" s="5">
        <v>0</v>
      </c>
      <c r="E289" s="5">
        <v>1173113.0703125</v>
      </c>
      <c r="F289" s="5">
        <v>2700306.03125</v>
      </c>
      <c r="G289" s="3"/>
      <c r="H289" s="3">
        <v>3</v>
      </c>
      <c r="I289" s="3">
        <v>9</v>
      </c>
      <c r="J289" s="6" t="s">
        <v>986</v>
      </c>
      <c r="K289" s="6">
        <v>2.9252525252525254</v>
      </c>
      <c r="L289" s="6">
        <v>8.0410081161896638</v>
      </c>
    </row>
    <row r="290" spans="1:12" x14ac:dyDescent="0.25">
      <c r="A290" s="2" t="s">
        <v>1473</v>
      </c>
      <c r="B290" s="2" t="s">
        <v>1474</v>
      </c>
      <c r="C290" s="4">
        <v>33.799999999999997</v>
      </c>
      <c r="D290" s="5">
        <v>340023.84375</v>
      </c>
      <c r="E290" s="5">
        <v>598217.96875</v>
      </c>
      <c r="F290" s="5">
        <v>666930.390625</v>
      </c>
      <c r="G290" s="3">
        <v>4</v>
      </c>
      <c r="H290" s="3">
        <v>3</v>
      </c>
      <c r="I290" s="3">
        <v>3</v>
      </c>
      <c r="J290" s="6">
        <v>4.6773512237545036</v>
      </c>
      <c r="K290" s="6">
        <v>2.9252525252525254</v>
      </c>
      <c r="L290" s="6">
        <v>2.6803360387298878</v>
      </c>
    </row>
    <row r="291" spans="1:12" x14ac:dyDescent="0.25">
      <c r="A291" s="2" t="s">
        <v>1475</v>
      </c>
      <c r="B291" s="2" t="s">
        <v>1086</v>
      </c>
      <c r="C291" s="4">
        <v>42.9</v>
      </c>
      <c r="D291" s="5">
        <v>9788541</v>
      </c>
      <c r="E291" s="5">
        <v>14697398</v>
      </c>
      <c r="F291" s="5">
        <v>6624967.5</v>
      </c>
      <c r="G291" s="3">
        <v>53</v>
      </c>
      <c r="H291" s="3">
        <v>47</v>
      </c>
      <c r="I291" s="3">
        <v>43</v>
      </c>
      <c r="J291" s="6">
        <v>61.974903714747178</v>
      </c>
      <c r="K291" s="6">
        <v>45.82895622895623</v>
      </c>
      <c r="L291" s="6">
        <v>38.41814988846172</v>
      </c>
    </row>
    <row r="292" spans="1:12" x14ac:dyDescent="0.25">
      <c r="A292" s="2" t="s">
        <v>1476</v>
      </c>
      <c r="B292" s="2" t="s">
        <v>1477</v>
      </c>
      <c r="C292" s="4">
        <v>82.1</v>
      </c>
      <c r="D292" s="5">
        <v>57790090.15625</v>
      </c>
      <c r="E292" s="5">
        <v>81795748.125</v>
      </c>
      <c r="F292" s="5">
        <v>113222774.625</v>
      </c>
      <c r="G292" s="3">
        <v>49</v>
      </c>
      <c r="H292" s="3">
        <v>50</v>
      </c>
      <c r="I292" s="3">
        <v>54</v>
      </c>
      <c r="J292" s="6">
        <v>57.297552490992672</v>
      </c>
      <c r="K292" s="6">
        <v>48.754208754208754</v>
      </c>
      <c r="L292" s="6">
        <v>48.246048697137979</v>
      </c>
    </row>
    <row r="293" spans="1:12" x14ac:dyDescent="0.25">
      <c r="A293" s="2" t="s">
        <v>1478</v>
      </c>
      <c r="B293" s="2" t="s">
        <v>1048</v>
      </c>
      <c r="C293" s="4">
        <v>28.3</v>
      </c>
      <c r="D293" s="5">
        <v>863830.625</v>
      </c>
      <c r="E293" s="5">
        <v>1833240.5</v>
      </c>
      <c r="F293" s="5">
        <v>3959221.75</v>
      </c>
      <c r="G293" s="3">
        <v>9</v>
      </c>
      <c r="H293" s="3">
        <v>11</v>
      </c>
      <c r="I293" s="3">
        <v>12</v>
      </c>
      <c r="J293" s="6">
        <v>10.524040253447634</v>
      </c>
      <c r="K293" s="6">
        <v>10.725925925925926</v>
      </c>
      <c r="L293" s="6">
        <v>10.721344154919551</v>
      </c>
    </row>
    <row r="294" spans="1:12" x14ac:dyDescent="0.25">
      <c r="A294" s="2" t="s">
        <v>1479</v>
      </c>
      <c r="B294" s="2" t="s">
        <v>1025</v>
      </c>
      <c r="C294" s="4">
        <v>40.1</v>
      </c>
      <c r="D294" s="5">
        <v>622600.546875</v>
      </c>
      <c r="E294" s="5">
        <v>504489.953125</v>
      </c>
      <c r="F294" s="5">
        <v>618345.25</v>
      </c>
      <c r="G294" s="3">
        <v>4</v>
      </c>
      <c r="H294" s="3">
        <v>2</v>
      </c>
      <c r="I294" s="3">
        <v>2</v>
      </c>
      <c r="J294" s="6">
        <v>4.6773512237545036</v>
      </c>
      <c r="K294" s="6">
        <v>1.9501683501683502</v>
      </c>
      <c r="L294" s="6">
        <v>1.7868906924865919</v>
      </c>
    </row>
    <row r="295" spans="1:12" x14ac:dyDescent="0.25">
      <c r="A295" s="2" t="s">
        <v>1480</v>
      </c>
      <c r="B295" s="2" t="s">
        <v>1061</v>
      </c>
      <c r="C295" s="4">
        <v>19.899999999999999</v>
      </c>
      <c r="D295" s="5">
        <v>445341.59375</v>
      </c>
      <c r="E295" s="5">
        <v>474026.46875</v>
      </c>
      <c r="F295" s="5">
        <v>913445.5</v>
      </c>
      <c r="G295" s="3">
        <v>4</v>
      </c>
      <c r="H295" s="3">
        <v>4</v>
      </c>
      <c r="I295" s="3">
        <v>4</v>
      </c>
      <c r="J295" s="6">
        <v>4.6773512237545036</v>
      </c>
      <c r="K295" s="6">
        <v>3.9003367003367004</v>
      </c>
      <c r="L295" s="6">
        <v>3.5737813849731839</v>
      </c>
    </row>
    <row r="296" spans="1:12" x14ac:dyDescent="0.25">
      <c r="A296" s="2" t="s">
        <v>1481</v>
      </c>
      <c r="B296" s="2" t="s">
        <v>1048</v>
      </c>
      <c r="C296" s="4">
        <v>27.8</v>
      </c>
      <c r="D296" s="5">
        <v>2306388.9375</v>
      </c>
      <c r="E296" s="5">
        <v>6002917.703125</v>
      </c>
      <c r="F296" s="5">
        <v>14552962.0625</v>
      </c>
      <c r="G296" s="3">
        <v>8</v>
      </c>
      <c r="H296" s="3">
        <v>9</v>
      </c>
      <c r="I296" s="3">
        <v>15</v>
      </c>
      <c r="J296" s="6">
        <v>9.3547024475090073</v>
      </c>
      <c r="K296" s="6">
        <v>8.7757575757575754</v>
      </c>
      <c r="L296" s="6">
        <v>13.40168019364944</v>
      </c>
    </row>
    <row r="297" spans="1:12" x14ac:dyDescent="0.25">
      <c r="A297" s="2" t="s">
        <v>1482</v>
      </c>
      <c r="B297" s="2" t="s">
        <v>1032</v>
      </c>
      <c r="C297" s="4">
        <v>43.1</v>
      </c>
      <c r="D297" s="5">
        <v>9557554.875</v>
      </c>
      <c r="E297" s="5">
        <v>35339330.671875</v>
      </c>
      <c r="F297" s="5">
        <v>36378133.9375</v>
      </c>
      <c r="G297" s="3">
        <v>37</v>
      </c>
      <c r="H297" s="3">
        <v>37</v>
      </c>
      <c r="I297" s="3">
        <v>36</v>
      </c>
      <c r="J297" s="6">
        <v>43.26549881972916</v>
      </c>
      <c r="K297" s="6">
        <v>36.078114478114479</v>
      </c>
      <c r="L297" s="6">
        <v>32.164032464758655</v>
      </c>
    </row>
    <row r="298" spans="1:12" x14ac:dyDescent="0.25">
      <c r="A298" s="2" t="s">
        <v>1483</v>
      </c>
      <c r="B298" s="2" t="s">
        <v>1456</v>
      </c>
      <c r="C298" s="4">
        <v>25.5</v>
      </c>
      <c r="D298" s="5">
        <v>2934342.1875</v>
      </c>
      <c r="E298" s="5">
        <v>5413082.1875</v>
      </c>
      <c r="F298" s="5">
        <v>4713748.0625</v>
      </c>
      <c r="G298" s="3">
        <v>7</v>
      </c>
      <c r="H298" s="3">
        <v>9</v>
      </c>
      <c r="I298" s="3">
        <v>8</v>
      </c>
      <c r="J298" s="6">
        <v>8.1853646415703807</v>
      </c>
      <c r="K298" s="6">
        <v>8.7757575757575754</v>
      </c>
      <c r="L298" s="6">
        <v>7.1475627699463677</v>
      </c>
    </row>
    <row r="299" spans="1:12" x14ac:dyDescent="0.25">
      <c r="A299" s="2" t="s">
        <v>1484</v>
      </c>
      <c r="B299" s="2" t="s">
        <v>1272</v>
      </c>
      <c r="C299" s="4">
        <v>27.9</v>
      </c>
      <c r="D299" s="5">
        <v>216247.03125</v>
      </c>
      <c r="E299" s="5">
        <v>406845.375</v>
      </c>
      <c r="F299" s="5">
        <v>0</v>
      </c>
      <c r="G299" s="3">
        <v>8</v>
      </c>
      <c r="H299" s="3">
        <v>11</v>
      </c>
      <c r="I299" s="3"/>
      <c r="J299" s="6">
        <v>9.3547024475090073</v>
      </c>
      <c r="K299" s="6">
        <v>10.725925925925926</v>
      </c>
      <c r="L299" s="6" t="s">
        <v>986</v>
      </c>
    </row>
    <row r="300" spans="1:12" x14ac:dyDescent="0.25">
      <c r="A300" s="2" t="s">
        <v>1485</v>
      </c>
      <c r="B300" s="2" t="s">
        <v>1231</v>
      </c>
      <c r="C300" s="4">
        <v>38.299999999999997</v>
      </c>
      <c r="D300" s="5">
        <v>3733090.171875</v>
      </c>
      <c r="E300" s="5">
        <v>4020276.875</v>
      </c>
      <c r="F300" s="5">
        <v>4505849.1875</v>
      </c>
      <c r="G300" s="3">
        <v>6</v>
      </c>
      <c r="H300" s="3">
        <v>5</v>
      </c>
      <c r="I300" s="3">
        <v>7</v>
      </c>
      <c r="J300" s="6">
        <v>7.0160268356317559</v>
      </c>
      <c r="K300" s="6">
        <v>4.8754208754208754</v>
      </c>
      <c r="L300" s="6">
        <v>6.2541174237030717</v>
      </c>
    </row>
    <row r="301" spans="1:12" x14ac:dyDescent="0.25">
      <c r="A301" s="2" t="s">
        <v>1486</v>
      </c>
      <c r="B301" s="2" t="s">
        <v>1487</v>
      </c>
      <c r="C301" s="4">
        <v>40.299999999999997</v>
      </c>
      <c r="D301" s="5">
        <v>0</v>
      </c>
      <c r="E301" s="5">
        <v>662064.4375</v>
      </c>
      <c r="F301" s="5">
        <v>521036.6875</v>
      </c>
      <c r="G301" s="3"/>
      <c r="H301" s="3">
        <v>4</v>
      </c>
      <c r="I301" s="3">
        <v>3</v>
      </c>
      <c r="J301" s="6" t="s">
        <v>986</v>
      </c>
      <c r="K301" s="6">
        <v>3.9003367003367004</v>
      </c>
      <c r="L301" s="6">
        <v>2.6803360387298878</v>
      </c>
    </row>
    <row r="302" spans="1:12" x14ac:dyDescent="0.25">
      <c r="A302" s="2" t="s">
        <v>1488</v>
      </c>
      <c r="B302" s="2" t="s">
        <v>1058</v>
      </c>
      <c r="C302" s="4">
        <v>44.2</v>
      </c>
      <c r="D302" s="5">
        <v>737527.578125</v>
      </c>
      <c r="E302" s="5">
        <v>1333596.71875</v>
      </c>
      <c r="F302" s="5">
        <v>3464400.40625</v>
      </c>
      <c r="G302" s="3">
        <v>18</v>
      </c>
      <c r="H302" s="3">
        <v>20</v>
      </c>
      <c r="I302" s="3">
        <v>24</v>
      </c>
      <c r="J302" s="6">
        <v>21.048080506895268</v>
      </c>
      <c r="K302" s="6">
        <v>19.501683501683502</v>
      </c>
      <c r="L302" s="6">
        <v>21.442688309839102</v>
      </c>
    </row>
    <row r="303" spans="1:12" x14ac:dyDescent="0.25">
      <c r="A303" s="2" t="s">
        <v>1489</v>
      </c>
      <c r="B303" s="2" t="s">
        <v>1046</v>
      </c>
      <c r="C303" s="4">
        <v>27.2</v>
      </c>
      <c r="D303" s="5">
        <v>438878.03125</v>
      </c>
      <c r="E303" s="5">
        <v>428429.90625</v>
      </c>
      <c r="F303" s="5">
        <v>573509.875</v>
      </c>
      <c r="G303" s="3">
        <v>21</v>
      </c>
      <c r="H303" s="3">
        <v>13</v>
      </c>
      <c r="I303" s="3">
        <v>13</v>
      </c>
      <c r="J303" s="6">
        <v>24.556093924711146</v>
      </c>
      <c r="K303" s="6">
        <v>12.676094276094277</v>
      </c>
      <c r="L303" s="6">
        <v>11.614789501162846</v>
      </c>
    </row>
    <row r="304" spans="1:12" x14ac:dyDescent="0.25">
      <c r="A304" s="2" t="s">
        <v>1490</v>
      </c>
      <c r="B304" s="2" t="s">
        <v>1032</v>
      </c>
      <c r="C304" s="4">
        <v>27.3</v>
      </c>
      <c r="D304" s="5">
        <v>9218791.28125</v>
      </c>
      <c r="E304" s="5">
        <v>14582288.34375</v>
      </c>
      <c r="F304" s="5">
        <v>12957037</v>
      </c>
      <c r="G304" s="3">
        <v>10</v>
      </c>
      <c r="H304" s="3">
        <v>11</v>
      </c>
      <c r="I304" s="3">
        <v>10</v>
      </c>
      <c r="J304" s="6">
        <v>11.693378059386259</v>
      </c>
      <c r="K304" s="6">
        <v>10.725925925925926</v>
      </c>
      <c r="L304" s="6">
        <v>8.934453462432959</v>
      </c>
    </row>
    <row r="305" spans="1:12" x14ac:dyDescent="0.25">
      <c r="A305" s="2" t="s">
        <v>1491</v>
      </c>
      <c r="B305" s="2" t="s">
        <v>1225</v>
      </c>
      <c r="C305" s="4">
        <v>34.6</v>
      </c>
      <c r="D305" s="5">
        <v>520262.28125</v>
      </c>
      <c r="E305" s="5">
        <v>3445130.46875</v>
      </c>
      <c r="F305" s="5">
        <v>1176810</v>
      </c>
      <c r="G305" s="3">
        <v>12</v>
      </c>
      <c r="H305" s="3">
        <v>32</v>
      </c>
      <c r="I305" s="3">
        <v>31</v>
      </c>
      <c r="J305" s="6">
        <v>14.032053671263512</v>
      </c>
      <c r="K305" s="6">
        <v>31.202693602693603</v>
      </c>
      <c r="L305" s="6">
        <v>27.69680573354217</v>
      </c>
    </row>
    <row r="306" spans="1:12" x14ac:dyDescent="0.25">
      <c r="A306" s="2" t="s">
        <v>1492</v>
      </c>
      <c r="B306" s="2" t="s">
        <v>1493</v>
      </c>
      <c r="C306" s="4">
        <v>61.1</v>
      </c>
      <c r="D306" s="5">
        <v>0</v>
      </c>
      <c r="E306" s="5">
        <v>632328.21875</v>
      </c>
      <c r="F306" s="5">
        <v>487262.875</v>
      </c>
      <c r="G306" s="3"/>
      <c r="H306" s="3">
        <v>2</v>
      </c>
      <c r="I306" s="3">
        <v>3</v>
      </c>
      <c r="J306" s="6" t="s">
        <v>986</v>
      </c>
      <c r="K306" s="6">
        <v>1.9501683501683502</v>
      </c>
      <c r="L306" s="6">
        <v>2.6803360387298878</v>
      </c>
    </row>
    <row r="307" spans="1:12" x14ac:dyDescent="0.25">
      <c r="A307" s="2" t="s">
        <v>1494</v>
      </c>
      <c r="B307" s="2" t="s">
        <v>1025</v>
      </c>
      <c r="C307" s="4">
        <v>61.3</v>
      </c>
      <c r="D307" s="5">
        <v>375937.71875</v>
      </c>
      <c r="E307" s="5">
        <v>1101523.9375</v>
      </c>
      <c r="F307" s="5">
        <v>0</v>
      </c>
      <c r="G307" s="3">
        <v>8</v>
      </c>
      <c r="H307" s="3">
        <v>4</v>
      </c>
      <c r="I307" s="3"/>
      <c r="J307" s="6">
        <v>9.3547024475090073</v>
      </c>
      <c r="K307" s="6">
        <v>3.9003367003367004</v>
      </c>
      <c r="L307" s="6" t="s">
        <v>986</v>
      </c>
    </row>
    <row r="308" spans="1:12" x14ac:dyDescent="0.25">
      <c r="A308" s="2" t="s">
        <v>1495</v>
      </c>
      <c r="B308" s="2" t="s">
        <v>1496</v>
      </c>
      <c r="C308" s="4">
        <v>15.6</v>
      </c>
      <c r="D308" s="5">
        <v>0</v>
      </c>
      <c r="E308" s="5">
        <v>1443395.5</v>
      </c>
      <c r="F308" s="5">
        <v>1015235.4375</v>
      </c>
      <c r="G308" s="3"/>
      <c r="H308" s="3">
        <v>6</v>
      </c>
      <c r="I308" s="3">
        <v>9</v>
      </c>
      <c r="J308" s="6" t="s">
        <v>986</v>
      </c>
      <c r="K308" s="6">
        <v>5.8505050505050509</v>
      </c>
      <c r="L308" s="6">
        <v>8.0410081161896638</v>
      </c>
    </row>
    <row r="309" spans="1:12" x14ac:dyDescent="0.25">
      <c r="A309" s="2" t="s">
        <v>1497</v>
      </c>
      <c r="B309" s="2" t="s">
        <v>1498</v>
      </c>
      <c r="C309" s="4">
        <v>42.8</v>
      </c>
      <c r="D309" s="5">
        <v>0</v>
      </c>
      <c r="E309" s="5">
        <v>2504818</v>
      </c>
      <c r="F309" s="5">
        <v>4090473.875</v>
      </c>
      <c r="G309" s="3"/>
      <c r="H309" s="3">
        <v>7</v>
      </c>
      <c r="I309" s="3">
        <v>7</v>
      </c>
      <c r="J309" s="6" t="s">
        <v>986</v>
      </c>
      <c r="K309" s="6">
        <v>6.8255892255892263</v>
      </c>
      <c r="L309" s="6">
        <v>6.2541174237030717</v>
      </c>
    </row>
    <row r="310" spans="1:12" x14ac:dyDescent="0.25">
      <c r="A310" s="2" t="s">
        <v>1499</v>
      </c>
      <c r="B310" s="2" t="s">
        <v>1500</v>
      </c>
      <c r="C310" s="4">
        <v>40.4</v>
      </c>
      <c r="D310" s="5">
        <v>695905.453125</v>
      </c>
      <c r="E310" s="5">
        <v>1185817.5625</v>
      </c>
      <c r="F310" s="5">
        <v>602594</v>
      </c>
      <c r="G310" s="3">
        <v>26</v>
      </c>
      <c r="H310" s="3">
        <v>33</v>
      </c>
      <c r="I310" s="3">
        <v>38</v>
      </c>
      <c r="J310" s="6">
        <v>30.402782954404277</v>
      </c>
      <c r="K310" s="6">
        <v>32.177777777777777</v>
      </c>
      <c r="L310" s="6">
        <v>33.950923157245242</v>
      </c>
    </row>
    <row r="311" spans="1:12" x14ac:dyDescent="0.25">
      <c r="A311" s="2" t="s">
        <v>1501</v>
      </c>
      <c r="B311" s="2" t="s">
        <v>1502</v>
      </c>
      <c r="C311" s="4">
        <v>21</v>
      </c>
      <c r="D311" s="5">
        <v>1509752.21875</v>
      </c>
      <c r="E311" s="5">
        <v>4307301.625</v>
      </c>
      <c r="F311" s="5">
        <v>12209218.5</v>
      </c>
      <c r="G311" s="3">
        <v>9</v>
      </c>
      <c r="H311" s="3">
        <v>12</v>
      </c>
      <c r="I311" s="3">
        <v>13</v>
      </c>
      <c r="J311" s="6">
        <v>10.524040253447634</v>
      </c>
      <c r="K311" s="6">
        <v>11.701010101010102</v>
      </c>
      <c r="L311" s="6">
        <v>11.614789501162846</v>
      </c>
    </row>
    <row r="312" spans="1:12" x14ac:dyDescent="0.25">
      <c r="A312" s="2" t="s">
        <v>1503</v>
      </c>
      <c r="B312" s="2" t="s">
        <v>1001</v>
      </c>
      <c r="C312" s="4">
        <v>28.7</v>
      </c>
      <c r="D312" s="5">
        <v>0</v>
      </c>
      <c r="E312" s="5">
        <v>16916323.9375</v>
      </c>
      <c r="F312" s="5">
        <v>19524596.625</v>
      </c>
      <c r="G312" s="3"/>
      <c r="H312" s="3">
        <v>23</v>
      </c>
      <c r="I312" s="3">
        <v>24</v>
      </c>
      <c r="J312" s="6" t="s">
        <v>986</v>
      </c>
      <c r="K312" s="6">
        <v>22.426936026936026</v>
      </c>
      <c r="L312" s="6">
        <v>21.442688309839102</v>
      </c>
    </row>
    <row r="313" spans="1:12" x14ac:dyDescent="0.25">
      <c r="A313" s="2" t="s">
        <v>1504</v>
      </c>
      <c r="B313" s="2" t="s">
        <v>1326</v>
      </c>
      <c r="C313" s="4">
        <v>193.2</v>
      </c>
      <c r="D313" s="5">
        <v>295368.578125</v>
      </c>
      <c r="E313" s="5">
        <v>2095719.046875</v>
      </c>
      <c r="F313" s="5">
        <v>1252586.21875</v>
      </c>
      <c r="G313" s="3">
        <v>39</v>
      </c>
      <c r="H313" s="3">
        <v>66</v>
      </c>
      <c r="I313" s="3">
        <v>78</v>
      </c>
      <c r="J313" s="6">
        <v>45.604174431606417</v>
      </c>
      <c r="K313" s="6">
        <v>64.355555555555554</v>
      </c>
      <c r="L313" s="6">
        <v>69.688737006977078</v>
      </c>
    </row>
    <row r="314" spans="1:12" x14ac:dyDescent="0.25">
      <c r="A314" s="2" t="s">
        <v>1505</v>
      </c>
      <c r="B314" s="2" t="s">
        <v>1506</v>
      </c>
      <c r="C314" s="4">
        <v>80.2</v>
      </c>
      <c r="D314" s="5">
        <v>1055542.34375</v>
      </c>
      <c r="E314" s="5">
        <v>2523856.875</v>
      </c>
      <c r="F314" s="5">
        <v>5021909.125</v>
      </c>
      <c r="G314" s="3">
        <v>6</v>
      </c>
      <c r="H314" s="3">
        <v>8</v>
      </c>
      <c r="I314" s="3">
        <v>8</v>
      </c>
      <c r="J314" s="6">
        <v>7.0160268356317559</v>
      </c>
      <c r="K314" s="6">
        <v>7.8006734006734009</v>
      </c>
      <c r="L314" s="6">
        <v>7.1475627699463677</v>
      </c>
    </row>
    <row r="315" spans="1:12" x14ac:dyDescent="0.25">
      <c r="A315" s="2" t="s">
        <v>1507</v>
      </c>
      <c r="B315" s="2" t="s">
        <v>1508</v>
      </c>
      <c r="C315" s="4">
        <v>15.7</v>
      </c>
      <c r="D315" s="5">
        <v>0</v>
      </c>
      <c r="E315" s="5">
        <v>2066666.02734375</v>
      </c>
      <c r="F315" s="5">
        <v>0</v>
      </c>
      <c r="G315" s="3"/>
      <c r="H315" s="3">
        <v>6</v>
      </c>
      <c r="I315" s="3"/>
      <c r="J315" s="6" t="s">
        <v>986</v>
      </c>
      <c r="K315" s="6">
        <v>5.8505050505050509</v>
      </c>
      <c r="L315" s="6" t="s">
        <v>986</v>
      </c>
    </row>
    <row r="316" spans="1:12" x14ac:dyDescent="0.25">
      <c r="A316" s="2" t="s">
        <v>1509</v>
      </c>
      <c r="B316" s="2" t="s">
        <v>1326</v>
      </c>
      <c r="C316" s="4">
        <v>192.8</v>
      </c>
      <c r="D316" s="5">
        <v>837525.5</v>
      </c>
      <c r="E316" s="5">
        <v>1805672.6875</v>
      </c>
      <c r="F316" s="5">
        <v>2290739.375</v>
      </c>
      <c r="G316" s="3">
        <v>40</v>
      </c>
      <c r="H316" s="3">
        <v>55</v>
      </c>
      <c r="I316" s="3">
        <v>72</v>
      </c>
      <c r="J316" s="6">
        <v>46.773512237545035</v>
      </c>
      <c r="K316" s="6">
        <v>53.62962962962964</v>
      </c>
      <c r="L316" s="6">
        <v>64.328064929517311</v>
      </c>
    </row>
    <row r="317" spans="1:12" x14ac:dyDescent="0.25">
      <c r="A317" s="2" t="s">
        <v>1510</v>
      </c>
      <c r="B317" s="2" t="s">
        <v>1013</v>
      </c>
      <c r="C317" s="4">
        <v>84.9</v>
      </c>
      <c r="D317" s="5">
        <v>1221533.5</v>
      </c>
      <c r="E317" s="5">
        <v>2003760.125</v>
      </c>
      <c r="F317" s="5">
        <v>2482606.25</v>
      </c>
      <c r="G317" s="3">
        <v>25</v>
      </c>
      <c r="H317" s="3">
        <v>31</v>
      </c>
      <c r="I317" s="3">
        <v>34</v>
      </c>
      <c r="J317" s="6">
        <v>29.233445148465648</v>
      </c>
      <c r="K317" s="6">
        <v>30.22760942760943</v>
      </c>
      <c r="L317" s="6">
        <v>30.377141772272061</v>
      </c>
    </row>
    <row r="318" spans="1:12" x14ac:dyDescent="0.25">
      <c r="A318" s="2" t="s">
        <v>1511</v>
      </c>
      <c r="B318" s="2" t="s">
        <v>1512</v>
      </c>
      <c r="C318" s="4">
        <v>66.099999999999994</v>
      </c>
      <c r="D318" s="5">
        <v>0</v>
      </c>
      <c r="E318" s="5">
        <v>2567754.09375</v>
      </c>
      <c r="F318" s="5">
        <v>3119602.6875</v>
      </c>
      <c r="G318" s="3"/>
      <c r="H318" s="3">
        <v>6</v>
      </c>
      <c r="I318" s="3">
        <v>5</v>
      </c>
      <c r="J318" s="6" t="s">
        <v>986</v>
      </c>
      <c r="K318" s="6">
        <v>5.8505050505050509</v>
      </c>
      <c r="L318" s="6">
        <v>4.4672267312164795</v>
      </c>
    </row>
    <row r="319" spans="1:12" x14ac:dyDescent="0.25">
      <c r="A319" s="2" t="s">
        <v>1513</v>
      </c>
      <c r="B319" s="2" t="s">
        <v>1253</v>
      </c>
      <c r="C319" s="4">
        <v>31.5</v>
      </c>
      <c r="D319" s="5">
        <v>6390475.921875</v>
      </c>
      <c r="E319" s="5">
        <v>8702594.75</v>
      </c>
      <c r="F319" s="5">
        <v>4550476.953125</v>
      </c>
      <c r="G319" s="3">
        <v>16</v>
      </c>
      <c r="H319" s="3">
        <v>12</v>
      </c>
      <c r="I319" s="3">
        <v>14</v>
      </c>
      <c r="J319" s="6">
        <v>18.709404895018015</v>
      </c>
      <c r="K319" s="6">
        <v>11.701010101010102</v>
      </c>
      <c r="L319" s="6">
        <v>12.508234847406143</v>
      </c>
    </row>
    <row r="320" spans="1:12" x14ac:dyDescent="0.25">
      <c r="A320" s="2" t="s">
        <v>1514</v>
      </c>
      <c r="B320" s="2" t="s">
        <v>1515</v>
      </c>
      <c r="C320" s="4">
        <v>37.9</v>
      </c>
      <c r="D320" s="5">
        <v>3348796.1875</v>
      </c>
      <c r="E320" s="5">
        <v>5431969.41015625</v>
      </c>
      <c r="F320" s="5">
        <v>7330313.28125</v>
      </c>
      <c r="G320" s="3">
        <v>14</v>
      </c>
      <c r="H320" s="3">
        <v>12</v>
      </c>
      <c r="I320" s="3">
        <v>12</v>
      </c>
      <c r="J320" s="6">
        <v>16.370729283140761</v>
      </c>
      <c r="K320" s="6">
        <v>11.701010101010102</v>
      </c>
      <c r="L320" s="6">
        <v>10.721344154919551</v>
      </c>
    </row>
    <row r="321" spans="1:12" x14ac:dyDescent="0.25">
      <c r="A321" s="2" t="s">
        <v>1516</v>
      </c>
      <c r="B321" s="2" t="s">
        <v>1517</v>
      </c>
      <c r="C321" s="4">
        <v>65.5</v>
      </c>
      <c r="D321" s="5">
        <v>2392841.96875</v>
      </c>
      <c r="E321" s="5">
        <v>3202390.5</v>
      </c>
      <c r="F321" s="5">
        <v>3086443.84375</v>
      </c>
      <c r="G321" s="3">
        <v>34</v>
      </c>
      <c r="H321" s="3">
        <v>30</v>
      </c>
      <c r="I321" s="3">
        <v>33</v>
      </c>
      <c r="J321" s="6">
        <v>39.757485401913286</v>
      </c>
      <c r="K321" s="6">
        <v>29.252525252525253</v>
      </c>
      <c r="L321" s="6">
        <v>29.483696426028764</v>
      </c>
    </row>
    <row r="322" spans="1:12" x14ac:dyDescent="0.25">
      <c r="A322" s="2" t="s">
        <v>1518</v>
      </c>
      <c r="B322" s="2" t="s">
        <v>1025</v>
      </c>
      <c r="C322" s="4">
        <v>25.8</v>
      </c>
      <c r="D322" s="5">
        <v>1992412.09375</v>
      </c>
      <c r="E322" s="5">
        <v>1223531.90625</v>
      </c>
      <c r="F322" s="5">
        <v>2446936.5</v>
      </c>
      <c r="G322" s="3">
        <v>7</v>
      </c>
      <c r="H322" s="3">
        <v>4</v>
      </c>
      <c r="I322" s="3">
        <v>6</v>
      </c>
      <c r="J322" s="6">
        <v>8.1853646415703807</v>
      </c>
      <c r="K322" s="6">
        <v>3.9003367003367004</v>
      </c>
      <c r="L322" s="6">
        <v>5.3606720774597756</v>
      </c>
    </row>
    <row r="323" spans="1:12" x14ac:dyDescent="0.25">
      <c r="A323" s="2" t="s">
        <v>1519</v>
      </c>
      <c r="B323" s="2" t="s">
        <v>1520</v>
      </c>
      <c r="C323" s="4">
        <v>52.3</v>
      </c>
      <c r="D323" s="5">
        <v>0</v>
      </c>
      <c r="E323" s="5">
        <v>833599.5625</v>
      </c>
      <c r="F323" s="5">
        <v>1030904.03125</v>
      </c>
      <c r="G323" s="3"/>
      <c r="H323" s="3">
        <v>3</v>
      </c>
      <c r="I323" s="3">
        <v>4</v>
      </c>
      <c r="J323" s="6" t="s">
        <v>986</v>
      </c>
      <c r="K323" s="6">
        <v>2.9252525252525254</v>
      </c>
      <c r="L323" s="6">
        <v>3.5737813849731839</v>
      </c>
    </row>
    <row r="324" spans="1:12" x14ac:dyDescent="0.25">
      <c r="A324" s="2" t="s">
        <v>1521</v>
      </c>
      <c r="B324" s="2" t="s">
        <v>1335</v>
      </c>
      <c r="C324" s="4">
        <v>81.099999999999994</v>
      </c>
      <c r="D324" s="5">
        <v>0</v>
      </c>
      <c r="E324" s="5">
        <v>1091690.21875</v>
      </c>
      <c r="F324" s="5">
        <v>0</v>
      </c>
      <c r="G324" s="3"/>
      <c r="H324" s="3">
        <v>2</v>
      </c>
      <c r="I324" s="3"/>
      <c r="J324" s="6" t="s">
        <v>986</v>
      </c>
      <c r="K324" s="6">
        <v>1.9501683501683502</v>
      </c>
      <c r="L324" s="6" t="s">
        <v>986</v>
      </c>
    </row>
    <row r="325" spans="1:12" x14ac:dyDescent="0.25">
      <c r="A325" s="2" t="s">
        <v>1522</v>
      </c>
      <c r="B325" s="2" t="s">
        <v>1402</v>
      </c>
      <c r="C325" s="4">
        <v>57.3</v>
      </c>
      <c r="D325" s="5">
        <v>1658785.9140625</v>
      </c>
      <c r="E325" s="5">
        <v>2354660.671875</v>
      </c>
      <c r="F325" s="5">
        <v>1336273.5</v>
      </c>
      <c r="G325" s="3">
        <v>57</v>
      </c>
      <c r="H325" s="3">
        <v>45</v>
      </c>
      <c r="I325" s="3">
        <v>42</v>
      </c>
      <c r="J325" s="6">
        <v>66.652254938501684</v>
      </c>
      <c r="K325" s="6">
        <v>43.878787878787882</v>
      </c>
      <c r="L325" s="6">
        <v>37.52470454221843</v>
      </c>
    </row>
    <row r="326" spans="1:12" x14ac:dyDescent="0.25">
      <c r="A326" s="2" t="s">
        <v>1523</v>
      </c>
      <c r="B326" s="2" t="s">
        <v>1073</v>
      </c>
      <c r="C326" s="4">
        <v>30.5</v>
      </c>
      <c r="D326" s="5">
        <v>14330008</v>
      </c>
      <c r="E326" s="5">
        <v>32456312</v>
      </c>
      <c r="F326" s="5">
        <v>19280380</v>
      </c>
      <c r="G326" s="3">
        <v>35</v>
      </c>
      <c r="H326" s="3">
        <v>33</v>
      </c>
      <c r="I326" s="3">
        <v>41</v>
      </c>
      <c r="J326" s="6">
        <v>40.926823207851911</v>
      </c>
      <c r="K326" s="6">
        <v>32.177777777777777</v>
      </c>
      <c r="L326" s="6">
        <v>36.631259195975133</v>
      </c>
    </row>
    <row r="327" spans="1:12" x14ac:dyDescent="0.25">
      <c r="A327" s="2" t="s">
        <v>1524</v>
      </c>
      <c r="B327" s="2" t="s">
        <v>1525</v>
      </c>
      <c r="C327" s="4">
        <v>23.8</v>
      </c>
      <c r="D327" s="5">
        <v>0</v>
      </c>
      <c r="E327" s="5">
        <v>2706935</v>
      </c>
      <c r="F327" s="5">
        <v>1669781.15625</v>
      </c>
      <c r="G327" s="3"/>
      <c r="H327" s="3">
        <v>4</v>
      </c>
      <c r="I327" s="3">
        <v>6</v>
      </c>
      <c r="J327" s="6" t="s">
        <v>986</v>
      </c>
      <c r="K327" s="6">
        <v>3.9003367003367004</v>
      </c>
      <c r="L327" s="6">
        <v>5.3606720774597756</v>
      </c>
    </row>
    <row r="328" spans="1:12" x14ac:dyDescent="0.25">
      <c r="A328" s="2" t="s">
        <v>1526</v>
      </c>
      <c r="B328" s="2" t="s">
        <v>1527</v>
      </c>
      <c r="C328" s="4">
        <v>29</v>
      </c>
      <c r="D328" s="5">
        <v>805203.34375</v>
      </c>
      <c r="E328" s="5">
        <v>5236052.0625</v>
      </c>
      <c r="F328" s="5">
        <v>9541117.8125</v>
      </c>
      <c r="G328" s="3">
        <v>3</v>
      </c>
      <c r="H328" s="3">
        <v>11</v>
      </c>
      <c r="I328" s="3">
        <v>12</v>
      </c>
      <c r="J328" s="6">
        <v>3.5080134178158779</v>
      </c>
      <c r="K328" s="6">
        <v>10.725925925925926</v>
      </c>
      <c r="L328" s="6">
        <v>10.721344154919551</v>
      </c>
    </row>
    <row r="329" spans="1:12" x14ac:dyDescent="0.25">
      <c r="A329" s="2" t="s">
        <v>1528</v>
      </c>
      <c r="B329" s="2" t="s">
        <v>995</v>
      </c>
      <c r="C329" s="4">
        <v>176.1</v>
      </c>
      <c r="D329" s="5">
        <v>167585.0625</v>
      </c>
      <c r="E329" s="5">
        <v>532547.34375</v>
      </c>
      <c r="F329" s="5">
        <v>288838.1875</v>
      </c>
      <c r="G329" s="3">
        <v>20</v>
      </c>
      <c r="H329" s="3">
        <v>19</v>
      </c>
      <c r="I329" s="3">
        <v>21</v>
      </c>
      <c r="J329" s="6">
        <v>23.386756118772517</v>
      </c>
      <c r="K329" s="6">
        <v>18.526599326599328</v>
      </c>
      <c r="L329" s="6">
        <v>18.762352271109215</v>
      </c>
    </row>
    <row r="330" spans="1:12" x14ac:dyDescent="0.25">
      <c r="A330" s="2" t="s">
        <v>1529</v>
      </c>
      <c r="B330" s="2" t="s">
        <v>1385</v>
      </c>
      <c r="C330" s="4">
        <v>51.9</v>
      </c>
      <c r="D330" s="5">
        <v>156689.453125</v>
      </c>
      <c r="E330" s="5">
        <v>583609.875</v>
      </c>
      <c r="F330" s="5">
        <v>2994104.5</v>
      </c>
      <c r="G330" s="3">
        <v>5</v>
      </c>
      <c r="H330" s="3">
        <v>7</v>
      </c>
      <c r="I330" s="3">
        <v>17</v>
      </c>
      <c r="J330" s="6">
        <v>5.8466890296931293</v>
      </c>
      <c r="K330" s="6">
        <v>6.8255892255892263</v>
      </c>
      <c r="L330" s="6">
        <v>15.188570886136031</v>
      </c>
    </row>
    <row r="331" spans="1:12" x14ac:dyDescent="0.25">
      <c r="A331" s="2" t="s">
        <v>1530</v>
      </c>
      <c r="B331" s="2" t="s">
        <v>1025</v>
      </c>
      <c r="C331" s="4">
        <v>30.9</v>
      </c>
      <c r="D331" s="5">
        <v>1688844.0625</v>
      </c>
      <c r="E331" s="5">
        <v>2117835.9375</v>
      </c>
      <c r="F331" s="5">
        <v>3962161.25</v>
      </c>
      <c r="G331" s="3">
        <v>4</v>
      </c>
      <c r="H331" s="3">
        <v>4</v>
      </c>
      <c r="I331" s="3">
        <v>4</v>
      </c>
      <c r="J331" s="6">
        <v>4.6773512237545036</v>
      </c>
      <c r="K331" s="6">
        <v>3.9003367003367004</v>
      </c>
      <c r="L331" s="6">
        <v>3.5737813849731839</v>
      </c>
    </row>
    <row r="332" spans="1:12" x14ac:dyDescent="0.25">
      <c r="A332" s="2" t="s">
        <v>1531</v>
      </c>
      <c r="B332" s="2" t="s">
        <v>1395</v>
      </c>
      <c r="C332" s="4">
        <v>20.6</v>
      </c>
      <c r="D332" s="5">
        <v>151080.65625</v>
      </c>
      <c r="E332" s="5">
        <v>331833.65625</v>
      </c>
      <c r="F332" s="5">
        <v>517555.8125</v>
      </c>
      <c r="G332" s="3">
        <v>5</v>
      </c>
      <c r="H332" s="3">
        <v>4</v>
      </c>
      <c r="I332" s="3">
        <v>4</v>
      </c>
      <c r="J332" s="6">
        <v>5.8466890296931293</v>
      </c>
      <c r="K332" s="6">
        <v>3.9003367003367004</v>
      </c>
      <c r="L332" s="6">
        <v>3.5737813849731839</v>
      </c>
    </row>
    <row r="333" spans="1:12" x14ac:dyDescent="0.25">
      <c r="A333" s="2" t="s">
        <v>1532</v>
      </c>
      <c r="B333" s="2" t="s">
        <v>1025</v>
      </c>
      <c r="C333" s="4">
        <v>25</v>
      </c>
      <c r="D333" s="5">
        <v>653532.34375</v>
      </c>
      <c r="E333" s="5">
        <v>681532.328125</v>
      </c>
      <c r="F333" s="5">
        <v>0</v>
      </c>
      <c r="G333" s="3">
        <v>5</v>
      </c>
      <c r="H333" s="3">
        <v>3</v>
      </c>
      <c r="I333" s="3"/>
      <c r="J333" s="6">
        <v>5.8466890296931293</v>
      </c>
      <c r="K333" s="6">
        <v>2.9252525252525254</v>
      </c>
      <c r="L333" s="6" t="s">
        <v>986</v>
      </c>
    </row>
    <row r="334" spans="1:12" x14ac:dyDescent="0.25">
      <c r="A334" s="2" t="s">
        <v>1533</v>
      </c>
      <c r="B334" s="2" t="s">
        <v>1400</v>
      </c>
      <c r="C334" s="4">
        <v>24.2</v>
      </c>
      <c r="D334" s="5">
        <v>1452329.4375</v>
      </c>
      <c r="E334" s="5">
        <v>409392.6875</v>
      </c>
      <c r="F334" s="5">
        <v>635038.4375</v>
      </c>
      <c r="G334" s="3">
        <v>8</v>
      </c>
      <c r="H334" s="3">
        <v>6</v>
      </c>
      <c r="I334" s="3">
        <v>10</v>
      </c>
      <c r="J334" s="6">
        <v>9.3547024475090073</v>
      </c>
      <c r="K334" s="6">
        <v>5.8505050505050509</v>
      </c>
      <c r="L334" s="6">
        <v>8.934453462432959</v>
      </c>
    </row>
    <row r="335" spans="1:12" x14ac:dyDescent="0.25">
      <c r="A335" s="2" t="s">
        <v>1534</v>
      </c>
      <c r="B335" s="2" t="s">
        <v>1025</v>
      </c>
      <c r="C335" s="4">
        <v>80</v>
      </c>
      <c r="D335" s="5">
        <v>1757440.25</v>
      </c>
      <c r="E335" s="5">
        <v>4047753.0625</v>
      </c>
      <c r="F335" s="5">
        <v>4445959.125</v>
      </c>
      <c r="G335" s="3">
        <v>7</v>
      </c>
      <c r="H335" s="3">
        <v>9</v>
      </c>
      <c r="I335" s="3">
        <v>7</v>
      </c>
      <c r="J335" s="6">
        <v>8.1853646415703807</v>
      </c>
      <c r="K335" s="6">
        <v>8.7757575757575754</v>
      </c>
      <c r="L335" s="6">
        <v>6.2541174237030717</v>
      </c>
    </row>
    <row r="336" spans="1:12" x14ac:dyDescent="0.25">
      <c r="A336" s="2" t="s">
        <v>1535</v>
      </c>
      <c r="B336" s="2" t="s">
        <v>1536</v>
      </c>
      <c r="C336" s="4">
        <v>21.4</v>
      </c>
      <c r="D336" s="5">
        <v>0</v>
      </c>
      <c r="E336" s="5">
        <v>856924.421875</v>
      </c>
      <c r="F336" s="5">
        <v>1485111.265625</v>
      </c>
      <c r="G336" s="3"/>
      <c r="H336" s="3">
        <v>2</v>
      </c>
      <c r="I336" s="3">
        <v>4</v>
      </c>
      <c r="J336" s="6" t="s">
        <v>986</v>
      </c>
      <c r="K336" s="6">
        <v>1.9501683501683502</v>
      </c>
      <c r="L336" s="6">
        <v>3.5737813849731839</v>
      </c>
    </row>
    <row r="337" spans="1:12" x14ac:dyDescent="0.25">
      <c r="A337" s="2" t="s">
        <v>1537</v>
      </c>
      <c r="B337" s="2" t="s">
        <v>1027</v>
      </c>
      <c r="C337" s="4">
        <v>29.8</v>
      </c>
      <c r="D337" s="5">
        <v>0</v>
      </c>
      <c r="E337" s="5">
        <v>1052305.125</v>
      </c>
      <c r="F337" s="5">
        <v>0</v>
      </c>
      <c r="G337" s="3"/>
      <c r="H337" s="3">
        <v>19</v>
      </c>
      <c r="I337" s="3"/>
      <c r="J337" s="6" t="s">
        <v>986</v>
      </c>
      <c r="K337" s="6">
        <v>18.526599326599328</v>
      </c>
      <c r="L337" s="6" t="s">
        <v>986</v>
      </c>
    </row>
    <row r="338" spans="1:12" x14ac:dyDescent="0.25">
      <c r="A338" s="2" t="s">
        <v>1538</v>
      </c>
      <c r="B338" s="2" t="s">
        <v>1023</v>
      </c>
      <c r="C338" s="4">
        <v>148.19999999999999</v>
      </c>
      <c r="D338" s="5">
        <v>0</v>
      </c>
      <c r="E338" s="5">
        <v>545715.4375</v>
      </c>
      <c r="F338" s="5">
        <v>870244.875</v>
      </c>
      <c r="G338" s="3"/>
      <c r="H338" s="3">
        <v>4</v>
      </c>
      <c r="I338" s="3">
        <v>8</v>
      </c>
      <c r="J338" s="6" t="s">
        <v>986</v>
      </c>
      <c r="K338" s="6">
        <v>3.9003367003367004</v>
      </c>
      <c r="L338" s="6">
        <v>7.1475627699463677</v>
      </c>
    </row>
    <row r="339" spans="1:12" x14ac:dyDescent="0.25">
      <c r="A339" s="2" t="s">
        <v>1539</v>
      </c>
      <c r="B339" s="2" t="s">
        <v>1019</v>
      </c>
      <c r="C339" s="4">
        <v>25.3</v>
      </c>
      <c r="D339" s="5">
        <v>0</v>
      </c>
      <c r="E339" s="5">
        <v>2235734</v>
      </c>
      <c r="F339" s="5">
        <v>4248275</v>
      </c>
      <c r="G339" s="3"/>
      <c r="H339" s="3">
        <v>11</v>
      </c>
      <c r="I339" s="3">
        <v>8</v>
      </c>
      <c r="J339" s="6" t="s">
        <v>986</v>
      </c>
      <c r="K339" s="6">
        <v>10.725925925925926</v>
      </c>
      <c r="L339" s="6">
        <v>7.1475627699463677</v>
      </c>
    </row>
    <row r="340" spans="1:12" x14ac:dyDescent="0.25">
      <c r="A340" s="2" t="s">
        <v>1540</v>
      </c>
      <c r="B340" s="2" t="s">
        <v>1541</v>
      </c>
      <c r="C340" s="4">
        <v>16.5</v>
      </c>
      <c r="D340" s="5">
        <v>1128000.42578125</v>
      </c>
      <c r="E340" s="5">
        <v>3936715.453125</v>
      </c>
      <c r="F340" s="5">
        <v>1639024.75</v>
      </c>
      <c r="G340" s="3">
        <v>6</v>
      </c>
      <c r="H340" s="3">
        <v>9</v>
      </c>
      <c r="I340" s="3">
        <v>9</v>
      </c>
      <c r="J340" s="6">
        <v>7.0160268356317559</v>
      </c>
      <c r="K340" s="6">
        <v>8.7757575757575754</v>
      </c>
      <c r="L340" s="6">
        <v>8.0410081161896638</v>
      </c>
    </row>
    <row r="341" spans="1:12" x14ac:dyDescent="0.25">
      <c r="A341" s="2" t="s">
        <v>1542</v>
      </c>
      <c r="B341" s="2" t="s">
        <v>1543</v>
      </c>
      <c r="C341" s="4">
        <v>41.1</v>
      </c>
      <c r="D341" s="5">
        <v>0</v>
      </c>
      <c r="E341" s="5">
        <v>893056.3125</v>
      </c>
      <c r="F341" s="5">
        <v>487015.0625</v>
      </c>
      <c r="G341" s="3"/>
      <c r="H341" s="3">
        <v>14</v>
      </c>
      <c r="I341" s="3">
        <v>8</v>
      </c>
      <c r="J341" s="6" t="s">
        <v>986</v>
      </c>
      <c r="K341" s="6">
        <v>13.651178451178453</v>
      </c>
      <c r="L341" s="6">
        <v>7.1475627699463677</v>
      </c>
    </row>
    <row r="342" spans="1:12" x14ac:dyDescent="0.25">
      <c r="A342" s="2" t="s">
        <v>1544</v>
      </c>
      <c r="B342" s="2" t="s">
        <v>1268</v>
      </c>
      <c r="C342" s="4">
        <v>64.400000000000006</v>
      </c>
      <c r="D342" s="5">
        <v>2158920.8984375</v>
      </c>
      <c r="E342" s="5">
        <v>3932442.28125</v>
      </c>
      <c r="F342" s="5">
        <v>3493584</v>
      </c>
      <c r="G342" s="3">
        <v>23</v>
      </c>
      <c r="H342" s="3">
        <v>14</v>
      </c>
      <c r="I342" s="3">
        <v>13</v>
      </c>
      <c r="J342" s="6">
        <v>26.894769536588395</v>
      </c>
      <c r="K342" s="6">
        <v>13.651178451178453</v>
      </c>
      <c r="L342" s="6">
        <v>11.614789501162846</v>
      </c>
    </row>
    <row r="343" spans="1:12" x14ac:dyDescent="0.25">
      <c r="A343" s="2" t="s">
        <v>1545</v>
      </c>
      <c r="B343" s="2" t="s">
        <v>1546</v>
      </c>
      <c r="C343" s="4">
        <v>33.200000000000003</v>
      </c>
      <c r="D343" s="5">
        <v>719404.6875</v>
      </c>
      <c r="E343" s="5">
        <v>1936825.78125</v>
      </c>
      <c r="F343" s="5">
        <v>2322329.9375</v>
      </c>
      <c r="G343" s="3">
        <v>10</v>
      </c>
      <c r="H343" s="3">
        <v>16</v>
      </c>
      <c r="I343" s="3">
        <v>18</v>
      </c>
      <c r="J343" s="6">
        <v>11.693378059386259</v>
      </c>
      <c r="K343" s="6">
        <v>15.601346801346802</v>
      </c>
      <c r="L343" s="6">
        <v>16.082016232379328</v>
      </c>
    </row>
    <row r="344" spans="1:12" x14ac:dyDescent="0.25">
      <c r="A344" s="2" t="s">
        <v>1547</v>
      </c>
      <c r="B344" s="2" t="s">
        <v>1285</v>
      </c>
      <c r="C344" s="4">
        <v>28.2</v>
      </c>
      <c r="D344" s="5">
        <v>2734106.5078125</v>
      </c>
      <c r="E344" s="5">
        <v>2122510.65625</v>
      </c>
      <c r="F344" s="5">
        <v>2556901.875</v>
      </c>
      <c r="G344" s="3">
        <v>8</v>
      </c>
      <c r="H344" s="3">
        <v>3</v>
      </c>
      <c r="I344" s="3">
        <v>3</v>
      </c>
      <c r="J344" s="6">
        <v>9.3547024475090073</v>
      </c>
      <c r="K344" s="6">
        <v>2.9252525252525254</v>
      </c>
      <c r="L344" s="6">
        <v>2.6803360387298878</v>
      </c>
    </row>
    <row r="345" spans="1:12" x14ac:dyDescent="0.25">
      <c r="A345" s="2" t="s">
        <v>1548</v>
      </c>
      <c r="B345" s="2" t="s">
        <v>1348</v>
      </c>
      <c r="C345" s="4">
        <v>40.1</v>
      </c>
      <c r="D345" s="5">
        <v>407399.953125</v>
      </c>
      <c r="E345" s="5">
        <v>528007.46875</v>
      </c>
      <c r="F345" s="5">
        <v>1574148.1875</v>
      </c>
      <c r="G345" s="3">
        <v>2</v>
      </c>
      <c r="H345" s="3">
        <v>2</v>
      </c>
      <c r="I345" s="3">
        <v>3</v>
      </c>
      <c r="J345" s="6">
        <v>2.3386756118772518</v>
      </c>
      <c r="K345" s="6">
        <v>1.9501683501683502</v>
      </c>
      <c r="L345" s="6">
        <v>2.6803360387298878</v>
      </c>
    </row>
    <row r="346" spans="1:12" x14ac:dyDescent="0.25">
      <c r="A346" s="2" t="s">
        <v>1549</v>
      </c>
      <c r="B346" s="2" t="s">
        <v>1235</v>
      </c>
      <c r="C346" s="4">
        <v>104.9</v>
      </c>
      <c r="D346" s="5">
        <v>532447.5</v>
      </c>
      <c r="E346" s="5">
        <v>689794.875</v>
      </c>
      <c r="F346" s="5">
        <v>1492435.1875</v>
      </c>
      <c r="G346" s="3">
        <v>9</v>
      </c>
      <c r="H346" s="3">
        <v>9</v>
      </c>
      <c r="I346" s="3">
        <v>12</v>
      </c>
      <c r="J346" s="6">
        <v>10.524040253447634</v>
      </c>
      <c r="K346" s="6">
        <v>8.7757575757575754</v>
      </c>
      <c r="L346" s="6">
        <v>10.721344154919551</v>
      </c>
    </row>
    <row r="347" spans="1:12" x14ac:dyDescent="0.25">
      <c r="A347" s="2" t="s">
        <v>1550</v>
      </c>
      <c r="B347" s="2" t="s">
        <v>1551</v>
      </c>
      <c r="C347" s="4">
        <v>19.899999999999999</v>
      </c>
      <c r="D347" s="5">
        <v>785859.15625</v>
      </c>
      <c r="E347" s="5">
        <v>972256.09375</v>
      </c>
      <c r="F347" s="5">
        <v>0</v>
      </c>
      <c r="G347" s="3">
        <v>2</v>
      </c>
      <c r="H347" s="3">
        <v>2</v>
      </c>
      <c r="I347" s="3"/>
      <c r="J347" s="6">
        <v>2.3386756118772518</v>
      </c>
      <c r="K347" s="6">
        <v>1.9501683501683502</v>
      </c>
      <c r="L347" s="6" t="s">
        <v>986</v>
      </c>
    </row>
    <row r="348" spans="1:12" x14ac:dyDescent="0.25">
      <c r="A348" s="2" t="s">
        <v>1552</v>
      </c>
      <c r="B348" s="2" t="s">
        <v>1553</v>
      </c>
      <c r="C348" s="4">
        <v>93.9</v>
      </c>
      <c r="D348" s="5">
        <v>0</v>
      </c>
      <c r="E348" s="5">
        <v>4165056.640625</v>
      </c>
      <c r="F348" s="5">
        <v>3750144.0625</v>
      </c>
      <c r="G348" s="3"/>
      <c r="H348" s="3">
        <v>10</v>
      </c>
      <c r="I348" s="3">
        <v>7</v>
      </c>
      <c r="J348" s="6" t="s">
        <v>986</v>
      </c>
      <c r="K348" s="6">
        <v>9.7508417508417509</v>
      </c>
      <c r="L348" s="6">
        <v>6.2541174237030717</v>
      </c>
    </row>
    <row r="349" spans="1:12" x14ac:dyDescent="0.25">
      <c r="A349" s="2" t="s">
        <v>1554</v>
      </c>
      <c r="B349" s="2" t="s">
        <v>1056</v>
      </c>
      <c r="C349" s="4">
        <v>55.3</v>
      </c>
      <c r="D349" s="5">
        <v>41719928.234375</v>
      </c>
      <c r="E349" s="5">
        <v>57140654.3984375</v>
      </c>
      <c r="F349" s="5">
        <v>84038293.34375</v>
      </c>
      <c r="G349" s="3">
        <v>59</v>
      </c>
      <c r="H349" s="3">
        <v>57</v>
      </c>
      <c r="I349" s="3">
        <v>61</v>
      </c>
      <c r="J349" s="6">
        <v>68.990930550378934</v>
      </c>
      <c r="K349" s="6">
        <v>55.579797979797988</v>
      </c>
      <c r="L349" s="6">
        <v>54.500166120841044</v>
      </c>
    </row>
    <row r="350" spans="1:12" x14ac:dyDescent="0.25">
      <c r="A350" s="2" t="s">
        <v>1555</v>
      </c>
      <c r="B350" s="2" t="s">
        <v>1556</v>
      </c>
      <c r="C350" s="4">
        <v>15.4</v>
      </c>
      <c r="D350" s="5">
        <v>0</v>
      </c>
      <c r="E350" s="5">
        <v>4595316.4375</v>
      </c>
      <c r="F350" s="5">
        <v>4697775.65625</v>
      </c>
      <c r="G350" s="3"/>
      <c r="H350" s="3">
        <v>6</v>
      </c>
      <c r="I350" s="3">
        <v>8</v>
      </c>
      <c r="J350" s="6" t="s">
        <v>986</v>
      </c>
      <c r="K350" s="6">
        <v>5.8505050505050509</v>
      </c>
      <c r="L350" s="6">
        <v>7.1475627699463677</v>
      </c>
    </row>
    <row r="351" spans="1:12" x14ac:dyDescent="0.25">
      <c r="A351" s="2" t="s">
        <v>1557</v>
      </c>
      <c r="B351" s="2" t="s">
        <v>1032</v>
      </c>
      <c r="C351" s="4">
        <v>26.4</v>
      </c>
      <c r="D351" s="5">
        <v>9235014.07421875</v>
      </c>
      <c r="E351" s="5">
        <v>10219433.59375</v>
      </c>
      <c r="F351" s="5">
        <v>12500667.4375</v>
      </c>
      <c r="G351" s="3">
        <v>16</v>
      </c>
      <c r="H351" s="3">
        <v>16</v>
      </c>
      <c r="I351" s="3">
        <v>18</v>
      </c>
      <c r="J351" s="6">
        <v>18.709404895018015</v>
      </c>
      <c r="K351" s="6">
        <v>15.601346801346802</v>
      </c>
      <c r="L351" s="6">
        <v>16.082016232379328</v>
      </c>
    </row>
    <row r="352" spans="1:12" x14ac:dyDescent="0.25">
      <c r="A352" s="2" t="s">
        <v>1558</v>
      </c>
      <c r="B352" s="2" t="s">
        <v>1559</v>
      </c>
      <c r="C352" s="4">
        <v>20.100000000000001</v>
      </c>
      <c r="D352" s="5">
        <v>0</v>
      </c>
      <c r="E352" s="5">
        <v>502962.984375</v>
      </c>
      <c r="F352" s="5">
        <v>900485.0625</v>
      </c>
      <c r="G352" s="3"/>
      <c r="H352" s="3">
        <v>3</v>
      </c>
      <c r="I352" s="3">
        <v>2</v>
      </c>
      <c r="J352" s="6" t="s">
        <v>986</v>
      </c>
      <c r="K352" s="6">
        <v>2.9252525252525254</v>
      </c>
      <c r="L352" s="6">
        <v>1.7868906924865919</v>
      </c>
    </row>
    <row r="353" spans="1:12" x14ac:dyDescent="0.25">
      <c r="A353" s="2" t="s">
        <v>1560</v>
      </c>
      <c r="B353" s="2" t="s">
        <v>1561</v>
      </c>
      <c r="C353" s="4">
        <v>36.200000000000003</v>
      </c>
      <c r="D353" s="5">
        <v>0</v>
      </c>
      <c r="E353" s="5">
        <v>1568741.71875</v>
      </c>
      <c r="F353" s="5">
        <v>3106178.75</v>
      </c>
      <c r="G353" s="3"/>
      <c r="H353" s="3">
        <v>3</v>
      </c>
      <c r="I353" s="3">
        <v>4</v>
      </c>
      <c r="J353" s="6" t="s">
        <v>986</v>
      </c>
      <c r="K353" s="6">
        <v>2.9252525252525254</v>
      </c>
      <c r="L353" s="6">
        <v>3.5737813849731839</v>
      </c>
    </row>
    <row r="354" spans="1:12" x14ac:dyDescent="0.25">
      <c r="A354" s="2" t="s">
        <v>1562</v>
      </c>
      <c r="B354" s="2" t="s">
        <v>1029</v>
      </c>
      <c r="C354" s="4">
        <v>53.5</v>
      </c>
      <c r="D354" s="5">
        <v>0</v>
      </c>
      <c r="E354" s="5">
        <v>438945.203125</v>
      </c>
      <c r="F354" s="5">
        <v>0</v>
      </c>
      <c r="G354" s="3"/>
      <c r="H354" s="3">
        <v>3</v>
      </c>
      <c r="I354" s="3"/>
      <c r="J354" s="6" t="s">
        <v>986</v>
      </c>
      <c r="K354" s="6">
        <v>2.9252525252525254</v>
      </c>
      <c r="L354" s="6" t="s">
        <v>986</v>
      </c>
    </row>
    <row r="355" spans="1:12" x14ac:dyDescent="0.25">
      <c r="A355" s="2" t="s">
        <v>1563</v>
      </c>
      <c r="B355" s="2" t="s">
        <v>1564</v>
      </c>
      <c r="C355" s="4">
        <v>42.2</v>
      </c>
      <c r="D355" s="5">
        <v>2977513.53125</v>
      </c>
      <c r="E355" s="5">
        <v>1394090.9375</v>
      </c>
      <c r="F355" s="5">
        <v>1198956.1484375</v>
      </c>
      <c r="G355" s="3">
        <v>15</v>
      </c>
      <c r="H355" s="3">
        <v>6</v>
      </c>
      <c r="I355" s="3">
        <v>4</v>
      </c>
      <c r="J355" s="6">
        <v>17.54006708907939</v>
      </c>
      <c r="K355" s="6">
        <v>5.8505050505050509</v>
      </c>
      <c r="L355" s="6">
        <v>3.5737813849731839</v>
      </c>
    </row>
    <row r="356" spans="1:12" x14ac:dyDescent="0.25">
      <c r="A356" s="2" t="s">
        <v>1565</v>
      </c>
      <c r="B356" s="2" t="s">
        <v>1161</v>
      </c>
      <c r="C356" s="4">
        <v>50.7</v>
      </c>
      <c r="D356" s="5">
        <v>1311584.71875</v>
      </c>
      <c r="E356" s="5">
        <v>1357209.90625</v>
      </c>
      <c r="F356" s="5">
        <v>0</v>
      </c>
      <c r="G356" s="3">
        <v>3</v>
      </c>
      <c r="H356" s="3">
        <v>3</v>
      </c>
      <c r="I356" s="3"/>
      <c r="J356" s="6">
        <v>3.5080134178158779</v>
      </c>
      <c r="K356" s="6">
        <v>2.9252525252525254</v>
      </c>
      <c r="L356" s="6" t="s">
        <v>986</v>
      </c>
    </row>
    <row r="357" spans="1:12" x14ac:dyDescent="0.25">
      <c r="A357" s="2" t="s">
        <v>1566</v>
      </c>
      <c r="B357" s="2" t="s">
        <v>1517</v>
      </c>
      <c r="C357" s="4">
        <v>65.599999999999994</v>
      </c>
      <c r="D357" s="5">
        <v>3419295.625</v>
      </c>
      <c r="E357" s="5">
        <v>4515753.125</v>
      </c>
      <c r="F357" s="5">
        <v>4346768.75</v>
      </c>
      <c r="G357" s="3">
        <v>33</v>
      </c>
      <c r="H357" s="3">
        <v>30</v>
      </c>
      <c r="I357" s="3">
        <v>31</v>
      </c>
      <c r="J357" s="6">
        <v>38.588147595974654</v>
      </c>
      <c r="K357" s="6">
        <v>29.252525252525253</v>
      </c>
      <c r="L357" s="6">
        <v>27.69680573354217</v>
      </c>
    </row>
    <row r="358" spans="1:12" x14ac:dyDescent="0.25">
      <c r="A358" s="2" t="s">
        <v>1567</v>
      </c>
      <c r="B358" s="2" t="s">
        <v>1046</v>
      </c>
      <c r="C358" s="4">
        <v>25.7</v>
      </c>
      <c r="D358" s="5">
        <v>4620708.9921875</v>
      </c>
      <c r="E358" s="5">
        <v>3145226.171875</v>
      </c>
      <c r="F358" s="5">
        <v>5331519.84375</v>
      </c>
      <c r="G358" s="3">
        <v>14</v>
      </c>
      <c r="H358" s="3">
        <v>11</v>
      </c>
      <c r="I358" s="3">
        <v>9</v>
      </c>
      <c r="J358" s="6">
        <v>16.370729283140761</v>
      </c>
      <c r="K358" s="6">
        <v>10.725925925925926</v>
      </c>
      <c r="L358" s="6">
        <v>8.0410081161896638</v>
      </c>
    </row>
    <row r="359" spans="1:12" x14ac:dyDescent="0.25">
      <c r="A359" s="2" t="s">
        <v>1568</v>
      </c>
      <c r="B359" s="2" t="s">
        <v>1237</v>
      </c>
      <c r="C359" s="4">
        <v>68.7</v>
      </c>
      <c r="D359" s="5">
        <v>11714561.09375</v>
      </c>
      <c r="E359" s="5">
        <v>4005887.78125</v>
      </c>
      <c r="F359" s="5">
        <v>0</v>
      </c>
      <c r="G359" s="3">
        <v>30</v>
      </c>
      <c r="H359" s="3">
        <v>38</v>
      </c>
      <c r="I359" s="3"/>
      <c r="J359" s="6">
        <v>35.080134178158779</v>
      </c>
      <c r="K359" s="6">
        <v>37.053198653198656</v>
      </c>
      <c r="L359" s="6" t="s">
        <v>986</v>
      </c>
    </row>
    <row r="360" spans="1:12" x14ac:dyDescent="0.25">
      <c r="A360" s="2" t="s">
        <v>1569</v>
      </c>
      <c r="B360" s="2" t="s">
        <v>1272</v>
      </c>
      <c r="C360" s="4">
        <v>29.3</v>
      </c>
      <c r="D360" s="5">
        <v>0</v>
      </c>
      <c r="E360" s="5">
        <v>0</v>
      </c>
      <c r="F360" s="5">
        <v>0</v>
      </c>
      <c r="G360" s="3"/>
      <c r="H360" s="3">
        <v>10</v>
      </c>
      <c r="I360" s="3"/>
      <c r="J360" s="6" t="s">
        <v>986</v>
      </c>
      <c r="K360" s="6">
        <v>9.7508417508417509</v>
      </c>
      <c r="L360" s="6" t="s">
        <v>986</v>
      </c>
    </row>
    <row r="361" spans="1:12" x14ac:dyDescent="0.25">
      <c r="A361" s="2" t="s">
        <v>1570</v>
      </c>
      <c r="B361" s="2" t="s">
        <v>1571</v>
      </c>
      <c r="C361" s="4">
        <v>57.7</v>
      </c>
      <c r="D361" s="5">
        <v>961059.703125</v>
      </c>
      <c r="E361" s="5">
        <v>887987.28125</v>
      </c>
      <c r="F361" s="5">
        <v>1445231.6875</v>
      </c>
      <c r="G361" s="3">
        <v>4</v>
      </c>
      <c r="H361" s="3">
        <v>3</v>
      </c>
      <c r="I361" s="3">
        <v>2</v>
      </c>
      <c r="J361" s="6">
        <v>4.6773512237545036</v>
      </c>
      <c r="K361" s="6">
        <v>2.9252525252525254</v>
      </c>
      <c r="L361" s="6">
        <v>1.7868906924865919</v>
      </c>
    </row>
    <row r="362" spans="1:12" x14ac:dyDescent="0.25">
      <c r="A362" s="2" t="s">
        <v>1572</v>
      </c>
      <c r="B362" s="2" t="s">
        <v>1573</v>
      </c>
      <c r="C362" s="4">
        <v>12.9</v>
      </c>
      <c r="D362" s="5">
        <v>0</v>
      </c>
      <c r="E362" s="5">
        <v>9303576.375</v>
      </c>
      <c r="F362" s="5">
        <v>14389746.09375</v>
      </c>
      <c r="G362" s="3"/>
      <c r="H362" s="3">
        <v>7</v>
      </c>
      <c r="I362" s="3">
        <v>7</v>
      </c>
      <c r="J362" s="6" t="s">
        <v>986</v>
      </c>
      <c r="K362" s="6">
        <v>6.8255892255892263</v>
      </c>
      <c r="L362" s="6">
        <v>6.2541174237030717</v>
      </c>
    </row>
    <row r="363" spans="1:12" x14ac:dyDescent="0.25">
      <c r="A363" s="2" t="s">
        <v>1574</v>
      </c>
      <c r="B363" s="2" t="s">
        <v>1084</v>
      </c>
      <c r="C363" s="4">
        <v>25.8</v>
      </c>
      <c r="D363" s="5">
        <v>4293184</v>
      </c>
      <c r="E363" s="5">
        <v>8170275.625</v>
      </c>
      <c r="F363" s="5">
        <v>15411648.75</v>
      </c>
      <c r="G363" s="3">
        <v>7</v>
      </c>
      <c r="H363" s="3">
        <v>10</v>
      </c>
      <c r="I363" s="3">
        <v>10</v>
      </c>
      <c r="J363" s="6">
        <v>8.1853646415703807</v>
      </c>
      <c r="K363" s="6">
        <v>9.7508417508417509</v>
      </c>
      <c r="L363" s="6">
        <v>8.934453462432959</v>
      </c>
    </row>
    <row r="364" spans="1:12" x14ac:dyDescent="0.25">
      <c r="A364" s="2" t="s">
        <v>1575</v>
      </c>
      <c r="B364" s="2" t="s">
        <v>1251</v>
      </c>
      <c r="C364" s="4">
        <v>64.099999999999994</v>
      </c>
      <c r="D364" s="5">
        <v>2722365.5625</v>
      </c>
      <c r="E364" s="5">
        <v>3784327.6035156301</v>
      </c>
      <c r="F364" s="5">
        <v>5216095.8125</v>
      </c>
      <c r="G364" s="3">
        <v>31</v>
      </c>
      <c r="H364" s="3">
        <v>27</v>
      </c>
      <c r="I364" s="3">
        <v>25</v>
      </c>
      <c r="J364" s="6">
        <v>36.249471984097404</v>
      </c>
      <c r="K364" s="6">
        <v>26.327272727272728</v>
      </c>
      <c r="L364" s="6">
        <v>22.336133656082396</v>
      </c>
    </row>
    <row r="365" spans="1:12" x14ac:dyDescent="0.25">
      <c r="A365" s="2" t="s">
        <v>1576</v>
      </c>
      <c r="B365" s="2" t="s">
        <v>1577</v>
      </c>
      <c r="C365" s="4">
        <v>17.899999999999999</v>
      </c>
      <c r="D365" s="5">
        <v>1887834.03125</v>
      </c>
      <c r="E365" s="5">
        <v>2481362.59375</v>
      </c>
      <c r="F365" s="5">
        <v>1914015.3125</v>
      </c>
      <c r="G365" s="3">
        <v>8</v>
      </c>
      <c r="H365" s="3">
        <v>10</v>
      </c>
      <c r="I365" s="3">
        <v>6</v>
      </c>
      <c r="J365" s="6">
        <v>9.3547024475090073</v>
      </c>
      <c r="K365" s="6">
        <v>9.7508417508417509</v>
      </c>
      <c r="L365" s="6">
        <v>5.3606720774597756</v>
      </c>
    </row>
    <row r="366" spans="1:12" x14ac:dyDescent="0.25">
      <c r="A366" s="2" t="s">
        <v>1578</v>
      </c>
      <c r="B366" s="2" t="s">
        <v>1579</v>
      </c>
      <c r="C366" s="4">
        <v>20.6</v>
      </c>
      <c r="D366" s="5">
        <v>3168418.40625</v>
      </c>
      <c r="E366" s="5">
        <v>6639781.84375</v>
      </c>
      <c r="F366" s="5">
        <v>12134611.9375</v>
      </c>
      <c r="G366" s="3">
        <v>11</v>
      </c>
      <c r="H366" s="3">
        <v>13</v>
      </c>
      <c r="I366" s="3">
        <v>15</v>
      </c>
      <c r="J366" s="6">
        <v>12.862715865324887</v>
      </c>
      <c r="K366" s="6">
        <v>12.676094276094277</v>
      </c>
      <c r="L366" s="6">
        <v>13.40168019364944</v>
      </c>
    </row>
    <row r="367" spans="1:12" x14ac:dyDescent="0.25">
      <c r="A367" s="2" t="s">
        <v>1580</v>
      </c>
      <c r="B367" s="2" t="s">
        <v>1025</v>
      </c>
      <c r="C367" s="4">
        <v>24.1</v>
      </c>
      <c r="D367" s="5">
        <v>1383660.890625</v>
      </c>
      <c r="E367" s="5">
        <v>1178632.90625</v>
      </c>
      <c r="F367" s="5">
        <v>893214.28125</v>
      </c>
      <c r="G367" s="3">
        <v>6</v>
      </c>
      <c r="H367" s="3">
        <v>3</v>
      </c>
      <c r="I367" s="3">
        <v>3</v>
      </c>
      <c r="J367" s="6">
        <v>7.0160268356317559</v>
      </c>
      <c r="K367" s="6">
        <v>2.9252525252525254</v>
      </c>
      <c r="L367" s="6">
        <v>2.6803360387298878</v>
      </c>
    </row>
    <row r="368" spans="1:12" x14ac:dyDescent="0.25">
      <c r="A368" s="2" t="s">
        <v>1581</v>
      </c>
      <c r="B368" s="2" t="s">
        <v>1290</v>
      </c>
      <c r="C368" s="4">
        <v>14.8</v>
      </c>
      <c r="D368" s="5">
        <v>1300319.75</v>
      </c>
      <c r="E368" s="5">
        <v>2496531.375</v>
      </c>
      <c r="F368" s="5">
        <v>3792122</v>
      </c>
      <c r="G368" s="3">
        <v>35</v>
      </c>
      <c r="H368" s="3">
        <v>49</v>
      </c>
      <c r="I368" s="3">
        <v>59</v>
      </c>
      <c r="J368" s="6">
        <v>40.926823207851911</v>
      </c>
      <c r="K368" s="6">
        <v>47.779124579124584</v>
      </c>
      <c r="L368" s="6">
        <v>52.713275428354457</v>
      </c>
    </row>
    <row r="369" spans="1:12" x14ac:dyDescent="0.25">
      <c r="A369" s="2" t="s">
        <v>1582</v>
      </c>
      <c r="B369" s="2" t="s">
        <v>1290</v>
      </c>
      <c r="C369" s="4">
        <v>20.399999999999999</v>
      </c>
      <c r="D369" s="5">
        <v>13046964</v>
      </c>
      <c r="E369" s="5">
        <v>0</v>
      </c>
      <c r="F369" s="5">
        <v>0</v>
      </c>
      <c r="G369" s="3">
        <v>33</v>
      </c>
      <c r="H369" s="3">
        <v>48</v>
      </c>
      <c r="I369" s="3">
        <v>56</v>
      </c>
      <c r="J369" s="6">
        <v>38.588147595974654</v>
      </c>
      <c r="K369" s="6">
        <v>46.804040404040407</v>
      </c>
      <c r="L369" s="6">
        <v>50.032939389624573</v>
      </c>
    </row>
    <row r="370" spans="1:12" x14ac:dyDescent="0.25">
      <c r="A370" s="2" t="s">
        <v>1583</v>
      </c>
      <c r="B370" s="2" t="s">
        <v>1029</v>
      </c>
      <c r="C370" s="4">
        <v>54.1</v>
      </c>
      <c r="D370" s="5">
        <v>122997.8671875</v>
      </c>
      <c r="E370" s="5">
        <v>261498.171875</v>
      </c>
      <c r="F370" s="5">
        <v>423753.53125</v>
      </c>
      <c r="G370" s="3">
        <v>3</v>
      </c>
      <c r="H370" s="3">
        <v>3</v>
      </c>
      <c r="I370" s="3">
        <v>3</v>
      </c>
      <c r="J370" s="6">
        <v>3.5080134178158779</v>
      </c>
      <c r="K370" s="6">
        <v>2.9252525252525254</v>
      </c>
      <c r="L370" s="6">
        <v>2.6803360387298878</v>
      </c>
    </row>
    <row r="371" spans="1:12" x14ac:dyDescent="0.25">
      <c r="A371" s="2" t="s">
        <v>1584</v>
      </c>
      <c r="B371" s="2" t="s">
        <v>1147</v>
      </c>
      <c r="C371" s="4">
        <v>39.299999999999997</v>
      </c>
      <c r="D371" s="5">
        <v>0</v>
      </c>
      <c r="E371" s="5">
        <v>0</v>
      </c>
      <c r="F371" s="5">
        <v>0</v>
      </c>
      <c r="G371" s="3">
        <v>2</v>
      </c>
      <c r="H371" s="3">
        <v>4</v>
      </c>
      <c r="I371" s="3">
        <v>3</v>
      </c>
      <c r="J371" s="6">
        <v>2.3386756118772518</v>
      </c>
      <c r="K371" s="6">
        <v>3.9003367003367004</v>
      </c>
      <c r="L371" s="6">
        <v>2.6803360387298878</v>
      </c>
    </row>
    <row r="372" spans="1:12" x14ac:dyDescent="0.25">
      <c r="A372" s="2" t="s">
        <v>1585</v>
      </c>
      <c r="B372" s="2" t="s">
        <v>1586</v>
      </c>
      <c r="C372" s="4">
        <v>39.6</v>
      </c>
      <c r="D372" s="5">
        <v>2056352.140625</v>
      </c>
      <c r="E372" s="5">
        <v>2508236.1875</v>
      </c>
      <c r="F372" s="5">
        <v>3632032.625</v>
      </c>
      <c r="G372" s="3">
        <v>7</v>
      </c>
      <c r="H372" s="3">
        <v>7</v>
      </c>
      <c r="I372" s="3">
        <v>6</v>
      </c>
      <c r="J372" s="6">
        <v>8.1853646415703807</v>
      </c>
      <c r="K372" s="6">
        <v>6.8255892255892263</v>
      </c>
      <c r="L372" s="6">
        <v>5.3606720774597756</v>
      </c>
    </row>
    <row r="373" spans="1:12" x14ac:dyDescent="0.25">
      <c r="A373" s="2" t="s">
        <v>1587</v>
      </c>
      <c r="B373" s="2" t="s">
        <v>1588</v>
      </c>
      <c r="C373" s="4">
        <v>21.8</v>
      </c>
      <c r="D373" s="5">
        <v>981371.765625</v>
      </c>
      <c r="E373" s="5">
        <v>711011.09375</v>
      </c>
      <c r="F373" s="5">
        <v>2254406.75</v>
      </c>
      <c r="G373" s="3">
        <v>6</v>
      </c>
      <c r="H373" s="3">
        <v>4</v>
      </c>
      <c r="I373" s="3">
        <v>5</v>
      </c>
      <c r="J373" s="6">
        <v>7.0160268356317559</v>
      </c>
      <c r="K373" s="6">
        <v>3.9003367003367004</v>
      </c>
      <c r="L373" s="6">
        <v>4.4672267312164795</v>
      </c>
    </row>
    <row r="374" spans="1:12" x14ac:dyDescent="0.25">
      <c r="A374" s="2" t="s">
        <v>1589</v>
      </c>
      <c r="B374" s="2" t="s">
        <v>1343</v>
      </c>
      <c r="C374" s="4">
        <v>41.7</v>
      </c>
      <c r="D374" s="5">
        <v>2223996.796875</v>
      </c>
      <c r="E374" s="5">
        <v>2446494.4375</v>
      </c>
      <c r="F374" s="5">
        <v>0</v>
      </c>
      <c r="G374" s="3">
        <v>14</v>
      </c>
      <c r="H374" s="3">
        <v>13</v>
      </c>
      <c r="I374" s="3"/>
      <c r="J374" s="6">
        <v>16.370729283140761</v>
      </c>
      <c r="K374" s="6">
        <v>12.676094276094277</v>
      </c>
      <c r="L374" s="6" t="s">
        <v>986</v>
      </c>
    </row>
    <row r="375" spans="1:12" x14ac:dyDescent="0.25">
      <c r="A375" s="2" t="s">
        <v>1590</v>
      </c>
      <c r="B375" s="2" t="s">
        <v>1021</v>
      </c>
      <c r="C375" s="4">
        <v>21.9</v>
      </c>
      <c r="D375" s="5">
        <v>5479201</v>
      </c>
      <c r="E375" s="5">
        <v>11523338</v>
      </c>
      <c r="F375" s="5">
        <v>14497018.5</v>
      </c>
      <c r="G375" s="3">
        <v>19</v>
      </c>
      <c r="H375" s="3">
        <v>16</v>
      </c>
      <c r="I375" s="3">
        <v>16</v>
      </c>
      <c r="J375" s="6">
        <v>22.217418312833892</v>
      </c>
      <c r="K375" s="6">
        <v>15.601346801346802</v>
      </c>
      <c r="L375" s="6">
        <v>14.295125539892735</v>
      </c>
    </row>
    <row r="376" spans="1:12" x14ac:dyDescent="0.25">
      <c r="A376" s="2" t="s">
        <v>1591</v>
      </c>
      <c r="B376" s="2" t="s">
        <v>1308</v>
      </c>
      <c r="C376" s="4">
        <v>49.6</v>
      </c>
      <c r="D376" s="5">
        <v>493066.375</v>
      </c>
      <c r="E376" s="5">
        <v>1008957.21875</v>
      </c>
      <c r="F376" s="5">
        <v>2624676.46875</v>
      </c>
      <c r="G376" s="3">
        <v>10</v>
      </c>
      <c r="H376" s="3">
        <v>12</v>
      </c>
      <c r="I376" s="3">
        <v>15</v>
      </c>
      <c r="J376" s="6">
        <v>11.693378059386259</v>
      </c>
      <c r="K376" s="6">
        <v>11.701010101010102</v>
      </c>
      <c r="L376" s="6">
        <v>13.40168019364944</v>
      </c>
    </row>
    <row r="377" spans="1:12" x14ac:dyDescent="0.25">
      <c r="A377" s="2" t="s">
        <v>1592</v>
      </c>
      <c r="B377" s="2" t="s">
        <v>1013</v>
      </c>
      <c r="C377" s="4">
        <v>84.3</v>
      </c>
      <c r="D377" s="5">
        <v>1751223.6796875</v>
      </c>
      <c r="E377" s="5">
        <v>1386889.375</v>
      </c>
      <c r="F377" s="5">
        <v>5772446.5625</v>
      </c>
      <c r="G377" s="3">
        <v>34</v>
      </c>
      <c r="H377" s="3">
        <v>37</v>
      </c>
      <c r="I377" s="3">
        <v>44</v>
      </c>
      <c r="J377" s="6">
        <v>39.757485401913286</v>
      </c>
      <c r="K377" s="6">
        <v>36.078114478114479</v>
      </c>
      <c r="L377" s="6">
        <v>39.311595234705017</v>
      </c>
    </row>
    <row r="378" spans="1:12" x14ac:dyDescent="0.25">
      <c r="A378" s="2" t="s">
        <v>1593</v>
      </c>
      <c r="B378" s="2" t="s">
        <v>1398</v>
      </c>
      <c r="C378" s="4">
        <v>39.299999999999997</v>
      </c>
      <c r="D378" s="5">
        <v>23072445.1796875</v>
      </c>
      <c r="E378" s="5">
        <v>24721865.96875</v>
      </c>
      <c r="F378" s="5">
        <v>37912587.6875</v>
      </c>
      <c r="G378" s="3">
        <v>47</v>
      </c>
      <c r="H378" s="3">
        <v>48</v>
      </c>
      <c r="I378" s="3">
        <v>48</v>
      </c>
      <c r="J378" s="6">
        <v>54.958876879115415</v>
      </c>
      <c r="K378" s="6">
        <v>46.804040404040407</v>
      </c>
      <c r="L378" s="6">
        <v>42.885376619678205</v>
      </c>
    </row>
    <row r="379" spans="1:12" x14ac:dyDescent="0.25">
      <c r="A379" s="2" t="s">
        <v>1594</v>
      </c>
      <c r="B379" s="2" t="s">
        <v>1147</v>
      </c>
      <c r="C379" s="4">
        <v>38.9</v>
      </c>
      <c r="D379" s="5">
        <v>1609190.703125</v>
      </c>
      <c r="E379" s="5">
        <v>2369772.5859375</v>
      </c>
      <c r="F379" s="5">
        <v>1875296</v>
      </c>
      <c r="G379" s="3">
        <v>6</v>
      </c>
      <c r="H379" s="3">
        <v>8</v>
      </c>
      <c r="I379" s="3">
        <v>6</v>
      </c>
      <c r="J379" s="6">
        <v>7.0160268356317559</v>
      </c>
      <c r="K379" s="6">
        <v>7.8006734006734009</v>
      </c>
      <c r="L379" s="6">
        <v>5.3606720774597756</v>
      </c>
    </row>
    <row r="380" spans="1:12" x14ac:dyDescent="0.25">
      <c r="A380" s="2" t="s">
        <v>1595</v>
      </c>
      <c r="B380" s="2" t="s">
        <v>1543</v>
      </c>
      <c r="C380" s="4">
        <v>41</v>
      </c>
      <c r="D380" s="5">
        <v>1299526.25</v>
      </c>
      <c r="E380" s="5">
        <v>586977.125</v>
      </c>
      <c r="F380" s="5">
        <v>494650.5</v>
      </c>
      <c r="G380" s="3">
        <v>16</v>
      </c>
      <c r="H380" s="3">
        <v>13</v>
      </c>
      <c r="I380" s="3">
        <v>9</v>
      </c>
      <c r="J380" s="6">
        <v>18.709404895018015</v>
      </c>
      <c r="K380" s="6">
        <v>12.676094276094277</v>
      </c>
      <c r="L380" s="6">
        <v>8.0410081161896638</v>
      </c>
    </row>
    <row r="381" spans="1:12" x14ac:dyDescent="0.25">
      <c r="A381" s="2" t="s">
        <v>1596</v>
      </c>
      <c r="B381" s="2" t="s">
        <v>1313</v>
      </c>
      <c r="C381" s="4">
        <v>28.3</v>
      </c>
      <c r="D381" s="5">
        <v>2653392.40625</v>
      </c>
      <c r="E381" s="5">
        <v>4153165.25</v>
      </c>
      <c r="F381" s="5">
        <v>5402815.28125</v>
      </c>
      <c r="G381" s="3">
        <v>18</v>
      </c>
      <c r="H381" s="3">
        <v>19</v>
      </c>
      <c r="I381" s="3">
        <v>18</v>
      </c>
      <c r="J381" s="6">
        <v>21.048080506895268</v>
      </c>
      <c r="K381" s="6">
        <v>18.526599326599328</v>
      </c>
      <c r="L381" s="6">
        <v>16.082016232379328</v>
      </c>
    </row>
    <row r="382" spans="1:12" x14ac:dyDescent="0.25">
      <c r="A382" s="2" t="s">
        <v>1597</v>
      </c>
      <c r="B382" s="2" t="s">
        <v>1268</v>
      </c>
      <c r="C382" s="4">
        <v>64.400000000000006</v>
      </c>
      <c r="D382" s="5">
        <v>0</v>
      </c>
      <c r="E382" s="5">
        <v>301260.90625</v>
      </c>
      <c r="F382" s="5">
        <v>626451.9375</v>
      </c>
      <c r="G382" s="3">
        <v>16</v>
      </c>
      <c r="H382" s="3">
        <v>9</v>
      </c>
      <c r="I382" s="3">
        <v>8</v>
      </c>
      <c r="J382" s="6">
        <v>18.709404895018015</v>
      </c>
      <c r="K382" s="6">
        <v>8.7757575757575754</v>
      </c>
      <c r="L382" s="6">
        <v>7.1475627699463677</v>
      </c>
    </row>
    <row r="383" spans="1:12" x14ac:dyDescent="0.25">
      <c r="A383" s="2" t="s">
        <v>1598</v>
      </c>
      <c r="B383" s="2" t="s">
        <v>1272</v>
      </c>
      <c r="C383" s="4">
        <v>28</v>
      </c>
      <c r="D383" s="5">
        <v>3595213.046875</v>
      </c>
      <c r="E383" s="5">
        <v>6060683.796875</v>
      </c>
      <c r="F383" s="5">
        <v>10539436.8125</v>
      </c>
      <c r="G383" s="3">
        <v>16</v>
      </c>
      <c r="H383" s="3">
        <v>21</v>
      </c>
      <c r="I383" s="3">
        <v>18</v>
      </c>
      <c r="J383" s="6">
        <v>18.709404895018015</v>
      </c>
      <c r="K383" s="6">
        <v>20.476767676767679</v>
      </c>
      <c r="L383" s="6">
        <v>16.082016232379328</v>
      </c>
    </row>
    <row r="384" spans="1:12" x14ac:dyDescent="0.25">
      <c r="A384" s="2" t="s">
        <v>1599</v>
      </c>
      <c r="B384" s="2" t="s">
        <v>1167</v>
      </c>
      <c r="C384" s="4">
        <v>37.6</v>
      </c>
      <c r="D384" s="5">
        <v>1203446.390625</v>
      </c>
      <c r="E384" s="5">
        <v>1640792.5625</v>
      </c>
      <c r="F384" s="5">
        <v>0</v>
      </c>
      <c r="G384" s="3">
        <v>8</v>
      </c>
      <c r="H384" s="3">
        <v>7</v>
      </c>
      <c r="I384" s="3"/>
      <c r="J384" s="6">
        <v>9.3547024475090073</v>
      </c>
      <c r="K384" s="6">
        <v>6.8255892255892263</v>
      </c>
      <c r="L384" s="6" t="s">
        <v>986</v>
      </c>
    </row>
    <row r="385" spans="1:12" x14ac:dyDescent="0.25">
      <c r="A385" s="2" t="s">
        <v>1600</v>
      </c>
      <c r="B385" s="2" t="s">
        <v>1601</v>
      </c>
      <c r="C385" s="4">
        <v>44.1</v>
      </c>
      <c r="D385" s="5">
        <v>735579.40625</v>
      </c>
      <c r="E385" s="5">
        <v>639578.84375</v>
      </c>
      <c r="F385" s="5">
        <v>0</v>
      </c>
      <c r="G385" s="3">
        <v>3</v>
      </c>
      <c r="H385" s="3">
        <v>2</v>
      </c>
      <c r="I385" s="3"/>
      <c r="J385" s="6">
        <v>3.5080134178158779</v>
      </c>
      <c r="K385" s="6">
        <v>1.9501683501683502</v>
      </c>
      <c r="L385" s="6" t="s">
        <v>986</v>
      </c>
    </row>
    <row r="386" spans="1:12" x14ac:dyDescent="0.25">
      <c r="A386" s="2" t="s">
        <v>1602</v>
      </c>
      <c r="B386" s="2" t="s">
        <v>1406</v>
      </c>
      <c r="C386" s="4">
        <v>65.400000000000006</v>
      </c>
      <c r="D386" s="5">
        <v>677259.4375</v>
      </c>
      <c r="E386" s="5">
        <v>767725.65625</v>
      </c>
      <c r="F386" s="5">
        <v>3034805.96875</v>
      </c>
      <c r="G386" s="3">
        <v>5</v>
      </c>
      <c r="H386" s="3">
        <v>4</v>
      </c>
      <c r="I386" s="3">
        <v>5</v>
      </c>
      <c r="J386" s="6">
        <v>5.8466890296931293</v>
      </c>
      <c r="K386" s="6">
        <v>3.9003367003367004</v>
      </c>
      <c r="L386" s="6">
        <v>4.4672267312164795</v>
      </c>
    </row>
    <row r="387" spans="1:12" x14ac:dyDescent="0.25">
      <c r="A387" s="2" t="s">
        <v>1603</v>
      </c>
      <c r="B387" s="2" t="s">
        <v>1467</v>
      </c>
      <c r="C387" s="4">
        <v>58.8</v>
      </c>
      <c r="D387" s="5">
        <v>1311507.921875</v>
      </c>
      <c r="E387" s="5">
        <v>1400546.4375</v>
      </c>
      <c r="F387" s="5">
        <v>2726542.375</v>
      </c>
      <c r="G387" s="3">
        <v>5</v>
      </c>
      <c r="H387" s="3">
        <v>5</v>
      </c>
      <c r="I387" s="3">
        <v>9</v>
      </c>
      <c r="J387" s="6">
        <v>5.8466890296931293</v>
      </c>
      <c r="K387" s="6">
        <v>4.8754208754208754</v>
      </c>
      <c r="L387" s="6">
        <v>8.0410081161896638</v>
      </c>
    </row>
    <row r="388" spans="1:12" x14ac:dyDescent="0.25">
      <c r="A388" s="2" t="s">
        <v>1604</v>
      </c>
      <c r="B388" s="2" t="s">
        <v>1605</v>
      </c>
      <c r="C388" s="4">
        <v>66.400000000000006</v>
      </c>
      <c r="D388" s="5">
        <v>1699920.6640625</v>
      </c>
      <c r="E388" s="5">
        <v>2290872.265625</v>
      </c>
      <c r="F388" s="5">
        <v>3278086.6875</v>
      </c>
      <c r="G388" s="3">
        <v>7</v>
      </c>
      <c r="H388" s="3">
        <v>5</v>
      </c>
      <c r="I388" s="3">
        <v>8</v>
      </c>
      <c r="J388" s="6">
        <v>8.1853646415703807</v>
      </c>
      <c r="K388" s="6">
        <v>4.8754208754208754</v>
      </c>
      <c r="L388" s="6">
        <v>7.1475627699463677</v>
      </c>
    </row>
    <row r="389" spans="1:12" x14ac:dyDescent="0.25">
      <c r="A389" s="2" t="s">
        <v>1606</v>
      </c>
      <c r="B389" s="2" t="s">
        <v>1322</v>
      </c>
      <c r="C389" s="4">
        <v>44.6</v>
      </c>
      <c r="D389" s="5">
        <v>601044.625</v>
      </c>
      <c r="E389" s="5">
        <v>3662295.6875</v>
      </c>
      <c r="F389" s="5">
        <v>1264176.875</v>
      </c>
      <c r="G389" s="3">
        <v>10</v>
      </c>
      <c r="H389" s="3">
        <v>26</v>
      </c>
      <c r="I389" s="3">
        <v>36</v>
      </c>
      <c r="J389" s="6">
        <v>11.693378059386259</v>
      </c>
      <c r="K389" s="6">
        <v>25.352188552188554</v>
      </c>
      <c r="L389" s="6">
        <v>32.164032464758655</v>
      </c>
    </row>
    <row r="390" spans="1:12" x14ac:dyDescent="0.25">
      <c r="A390" s="2" t="s">
        <v>1607</v>
      </c>
      <c r="B390" s="2" t="s">
        <v>1065</v>
      </c>
      <c r="C390" s="4">
        <v>81.599999999999994</v>
      </c>
      <c r="D390" s="5">
        <v>3513112.25</v>
      </c>
      <c r="E390" s="5">
        <v>3035693.15625</v>
      </c>
      <c r="F390" s="5">
        <v>2994715.875</v>
      </c>
      <c r="G390" s="3">
        <v>8</v>
      </c>
      <c r="H390" s="3">
        <v>7</v>
      </c>
      <c r="I390" s="3">
        <v>7</v>
      </c>
      <c r="J390" s="6">
        <v>9.3547024475090073</v>
      </c>
      <c r="K390" s="6">
        <v>6.8255892255892263</v>
      </c>
      <c r="L390" s="6">
        <v>6.2541174237030717</v>
      </c>
    </row>
    <row r="391" spans="1:12" x14ac:dyDescent="0.25">
      <c r="A391" s="2" t="s">
        <v>1608</v>
      </c>
      <c r="B391" s="2" t="s">
        <v>1500</v>
      </c>
      <c r="C391" s="4">
        <v>40.4</v>
      </c>
      <c r="D391" s="5">
        <v>0</v>
      </c>
      <c r="E391" s="5">
        <v>2357384</v>
      </c>
      <c r="F391" s="5">
        <v>3870616.5</v>
      </c>
      <c r="G391" s="3"/>
      <c r="H391" s="3">
        <v>35</v>
      </c>
      <c r="I391" s="3">
        <v>45</v>
      </c>
      <c r="J391" s="6" t="s">
        <v>986</v>
      </c>
      <c r="K391" s="6">
        <v>34.127946127946132</v>
      </c>
      <c r="L391" s="6">
        <v>40.205040580948314</v>
      </c>
    </row>
    <row r="392" spans="1:12" x14ac:dyDescent="0.25">
      <c r="A392" s="2" t="s">
        <v>1609</v>
      </c>
      <c r="B392" s="2" t="s">
        <v>1170</v>
      </c>
      <c r="C392" s="4">
        <v>92</v>
      </c>
      <c r="D392" s="5">
        <v>1532295.609375</v>
      </c>
      <c r="E392" s="5">
        <v>1591897.734375</v>
      </c>
      <c r="F392" s="5">
        <v>6105013.125</v>
      </c>
      <c r="G392" s="3">
        <v>15</v>
      </c>
      <c r="H392" s="3">
        <v>19</v>
      </c>
      <c r="I392" s="3">
        <v>24</v>
      </c>
      <c r="J392" s="6">
        <v>17.54006708907939</v>
      </c>
      <c r="K392" s="6">
        <v>18.526599326599328</v>
      </c>
      <c r="L392" s="6">
        <v>21.442688309839102</v>
      </c>
    </row>
    <row r="393" spans="1:12" x14ac:dyDescent="0.25">
      <c r="A393" s="2" t="s">
        <v>1610</v>
      </c>
      <c r="B393" s="2" t="s">
        <v>1611</v>
      </c>
      <c r="C393" s="4">
        <v>123.9</v>
      </c>
      <c r="D393" s="5">
        <v>0</v>
      </c>
      <c r="E393" s="5">
        <v>616552.34375</v>
      </c>
      <c r="F393" s="5">
        <v>0</v>
      </c>
      <c r="G393" s="3"/>
      <c r="H393" s="3">
        <v>3</v>
      </c>
      <c r="I393" s="3"/>
      <c r="J393" s="6" t="s">
        <v>986</v>
      </c>
      <c r="K393" s="6">
        <v>2.9252525252525254</v>
      </c>
      <c r="L393" s="6" t="s">
        <v>986</v>
      </c>
    </row>
    <row r="394" spans="1:12" x14ac:dyDescent="0.25">
      <c r="A394" s="2" t="s">
        <v>1612</v>
      </c>
      <c r="B394" s="2" t="s">
        <v>1153</v>
      </c>
      <c r="C394" s="4">
        <v>53.1</v>
      </c>
      <c r="D394" s="5">
        <v>0</v>
      </c>
      <c r="E394" s="5">
        <v>0</v>
      </c>
      <c r="F394" s="5">
        <v>0</v>
      </c>
      <c r="G394" s="3">
        <v>10</v>
      </c>
      <c r="H394" s="3">
        <v>13</v>
      </c>
      <c r="I394" s="3">
        <v>14</v>
      </c>
      <c r="J394" s="6">
        <v>11.693378059386259</v>
      </c>
      <c r="K394" s="6">
        <v>12.676094276094277</v>
      </c>
      <c r="L394" s="6">
        <v>12.508234847406143</v>
      </c>
    </row>
    <row r="395" spans="1:12" x14ac:dyDescent="0.25">
      <c r="A395" s="2" t="s">
        <v>1613</v>
      </c>
      <c r="B395" s="2" t="s">
        <v>1048</v>
      </c>
      <c r="C395" s="4">
        <v>29.2</v>
      </c>
      <c r="D395" s="5">
        <v>1713654.53125</v>
      </c>
      <c r="E395" s="5">
        <v>1089762.53125</v>
      </c>
      <c r="F395" s="5">
        <v>578954.5625</v>
      </c>
      <c r="G395" s="3">
        <v>10</v>
      </c>
      <c r="H395" s="3">
        <v>15</v>
      </c>
      <c r="I395" s="3">
        <v>14</v>
      </c>
      <c r="J395" s="6">
        <v>11.693378059386259</v>
      </c>
      <c r="K395" s="6">
        <v>14.626262626262626</v>
      </c>
      <c r="L395" s="6">
        <v>12.508234847406143</v>
      </c>
    </row>
    <row r="396" spans="1:12" x14ac:dyDescent="0.25">
      <c r="A396" s="2" t="s">
        <v>1614</v>
      </c>
      <c r="B396" s="2" t="s">
        <v>1025</v>
      </c>
      <c r="C396" s="4">
        <v>66.2</v>
      </c>
      <c r="D396" s="5">
        <v>0</v>
      </c>
      <c r="E396" s="5">
        <v>361832.84375</v>
      </c>
      <c r="F396" s="5">
        <v>971758.875</v>
      </c>
      <c r="G396" s="3"/>
      <c r="H396" s="3">
        <v>32</v>
      </c>
      <c r="I396" s="3">
        <v>29</v>
      </c>
      <c r="J396" s="6" t="s">
        <v>986</v>
      </c>
      <c r="K396" s="6">
        <v>31.202693602693603</v>
      </c>
      <c r="L396" s="6">
        <v>25.90991504105558</v>
      </c>
    </row>
    <row r="397" spans="1:12" x14ac:dyDescent="0.25">
      <c r="A397" s="2" t="s">
        <v>1615</v>
      </c>
      <c r="B397" s="2" t="s">
        <v>1122</v>
      </c>
      <c r="C397" s="4">
        <v>27.5</v>
      </c>
      <c r="D397" s="5">
        <v>3193696.59375</v>
      </c>
      <c r="E397" s="5">
        <v>4743260.3125</v>
      </c>
      <c r="F397" s="5">
        <v>5887876.625</v>
      </c>
      <c r="G397" s="3">
        <v>10</v>
      </c>
      <c r="H397" s="3">
        <v>8</v>
      </c>
      <c r="I397" s="3">
        <v>10</v>
      </c>
      <c r="J397" s="6">
        <v>11.693378059386259</v>
      </c>
      <c r="K397" s="6">
        <v>7.8006734006734009</v>
      </c>
      <c r="L397" s="6">
        <v>8.934453462432959</v>
      </c>
    </row>
    <row r="398" spans="1:12" x14ac:dyDescent="0.25">
      <c r="A398" s="2" t="s">
        <v>1616</v>
      </c>
      <c r="B398" s="2" t="s">
        <v>1115</v>
      </c>
      <c r="C398" s="4">
        <v>38.4</v>
      </c>
      <c r="D398" s="5">
        <v>899378.96875</v>
      </c>
      <c r="E398" s="5">
        <v>335727.875</v>
      </c>
      <c r="F398" s="5">
        <v>814810.84375</v>
      </c>
      <c r="G398" s="3">
        <v>3</v>
      </c>
      <c r="H398" s="3">
        <v>3</v>
      </c>
      <c r="I398" s="3">
        <v>3</v>
      </c>
      <c r="J398" s="6">
        <v>3.5080134178158779</v>
      </c>
      <c r="K398" s="6">
        <v>2.9252525252525254</v>
      </c>
      <c r="L398" s="6">
        <v>2.6803360387298878</v>
      </c>
    </row>
    <row r="399" spans="1:12" x14ac:dyDescent="0.25">
      <c r="A399" s="2" t="s">
        <v>1617</v>
      </c>
      <c r="B399" s="2" t="s">
        <v>1618</v>
      </c>
      <c r="C399" s="4">
        <v>23.6</v>
      </c>
      <c r="D399" s="5">
        <v>0</v>
      </c>
      <c r="E399" s="5">
        <v>7264417.59375</v>
      </c>
      <c r="F399" s="5">
        <v>9394224.5625</v>
      </c>
      <c r="G399" s="3"/>
      <c r="H399" s="3">
        <v>7</v>
      </c>
      <c r="I399" s="3">
        <v>7</v>
      </c>
      <c r="J399" s="6" t="s">
        <v>986</v>
      </c>
      <c r="K399" s="6">
        <v>6.8255892255892263</v>
      </c>
      <c r="L399" s="6">
        <v>6.2541174237030717</v>
      </c>
    </row>
    <row r="400" spans="1:12" x14ac:dyDescent="0.25">
      <c r="A400" s="2" t="s">
        <v>1619</v>
      </c>
      <c r="B400" s="2" t="s">
        <v>1620</v>
      </c>
      <c r="C400" s="4">
        <v>31.6</v>
      </c>
      <c r="D400" s="5">
        <v>1501503.890625</v>
      </c>
      <c r="E400" s="5">
        <v>3624979.9375</v>
      </c>
      <c r="F400" s="5">
        <v>4855690.0625</v>
      </c>
      <c r="G400" s="3">
        <v>11</v>
      </c>
      <c r="H400" s="3">
        <v>10</v>
      </c>
      <c r="I400" s="3">
        <v>9</v>
      </c>
      <c r="J400" s="6">
        <v>12.862715865324887</v>
      </c>
      <c r="K400" s="6">
        <v>9.7508417508417509</v>
      </c>
      <c r="L400" s="6">
        <v>8.0410081161896638</v>
      </c>
    </row>
    <row r="401" spans="1:12" x14ac:dyDescent="0.25">
      <c r="A401" s="2" t="s">
        <v>1621</v>
      </c>
      <c r="B401" s="2" t="s">
        <v>1122</v>
      </c>
      <c r="C401" s="4">
        <v>22.5</v>
      </c>
      <c r="D401" s="5">
        <v>3071467.03125</v>
      </c>
      <c r="E401" s="5">
        <v>4478952.5</v>
      </c>
      <c r="F401" s="5">
        <v>7194566.96875</v>
      </c>
      <c r="G401" s="3">
        <v>10</v>
      </c>
      <c r="H401" s="3">
        <v>8</v>
      </c>
      <c r="I401" s="3">
        <v>10</v>
      </c>
      <c r="J401" s="6">
        <v>11.693378059386259</v>
      </c>
      <c r="K401" s="6">
        <v>7.8006734006734009</v>
      </c>
      <c r="L401" s="6">
        <v>8.934453462432959</v>
      </c>
    </row>
    <row r="402" spans="1:12" x14ac:dyDescent="0.25">
      <c r="A402" s="2" t="s">
        <v>1622</v>
      </c>
      <c r="B402" s="2" t="s">
        <v>1496</v>
      </c>
      <c r="C402" s="4">
        <v>15.6</v>
      </c>
      <c r="D402" s="5">
        <v>2286841.3125</v>
      </c>
      <c r="E402" s="5">
        <v>3271243.75</v>
      </c>
      <c r="F402" s="5">
        <v>5301516</v>
      </c>
      <c r="G402" s="3">
        <v>6</v>
      </c>
      <c r="H402" s="3">
        <v>6</v>
      </c>
      <c r="I402" s="3">
        <v>9</v>
      </c>
      <c r="J402" s="6">
        <v>7.0160268356317559</v>
      </c>
      <c r="K402" s="6">
        <v>5.8505050505050509</v>
      </c>
      <c r="L402" s="6">
        <v>8.0410081161896638</v>
      </c>
    </row>
    <row r="403" spans="1:12" x14ac:dyDescent="0.25">
      <c r="A403" s="2" t="s">
        <v>1623</v>
      </c>
      <c r="B403" s="2" t="s">
        <v>1624</v>
      </c>
      <c r="C403" s="4">
        <v>59.3</v>
      </c>
      <c r="D403" s="5">
        <v>1017965.703125</v>
      </c>
      <c r="E403" s="5">
        <v>2449516.578125</v>
      </c>
      <c r="F403" s="5">
        <v>2984616.71875</v>
      </c>
      <c r="G403" s="3">
        <v>5</v>
      </c>
      <c r="H403" s="3">
        <v>5</v>
      </c>
      <c r="I403" s="3">
        <v>6</v>
      </c>
      <c r="J403" s="6">
        <v>5.8466890296931293</v>
      </c>
      <c r="K403" s="6">
        <v>4.8754208754208754</v>
      </c>
      <c r="L403" s="6">
        <v>5.3606720774597756</v>
      </c>
    </row>
    <row r="404" spans="1:12" x14ac:dyDescent="0.25">
      <c r="A404" s="2" t="s">
        <v>1625</v>
      </c>
      <c r="B404" s="2" t="s">
        <v>1626</v>
      </c>
      <c r="C404" s="4">
        <v>35.9</v>
      </c>
      <c r="D404" s="5">
        <v>0</v>
      </c>
      <c r="E404" s="5">
        <v>15456401.75</v>
      </c>
      <c r="F404" s="5">
        <v>19495300.25</v>
      </c>
      <c r="G404" s="3"/>
      <c r="H404" s="3">
        <v>12</v>
      </c>
      <c r="I404" s="3">
        <v>9</v>
      </c>
      <c r="J404" s="6" t="s">
        <v>986</v>
      </c>
      <c r="K404" s="6">
        <v>11.701010101010102</v>
      </c>
      <c r="L404" s="6">
        <v>8.0410081161896638</v>
      </c>
    </row>
    <row r="405" spans="1:12" x14ac:dyDescent="0.25">
      <c r="A405" s="2" t="s">
        <v>1627</v>
      </c>
      <c r="B405" s="2" t="s">
        <v>1180</v>
      </c>
      <c r="C405" s="4">
        <v>33.299999999999997</v>
      </c>
      <c r="D405" s="5">
        <v>504327.625</v>
      </c>
      <c r="E405" s="5">
        <v>760401.125</v>
      </c>
      <c r="F405" s="5">
        <v>904091.75</v>
      </c>
      <c r="G405" s="3">
        <v>6</v>
      </c>
      <c r="H405" s="3">
        <v>5</v>
      </c>
      <c r="I405" s="3">
        <v>3</v>
      </c>
      <c r="J405" s="6">
        <v>7.0160268356317559</v>
      </c>
      <c r="K405" s="6">
        <v>4.8754208754208754</v>
      </c>
      <c r="L405" s="6">
        <v>2.6803360387298878</v>
      </c>
    </row>
    <row r="406" spans="1:12" x14ac:dyDescent="0.25">
      <c r="A406" s="2" t="s">
        <v>1628</v>
      </c>
      <c r="B406" s="2" t="s">
        <v>1629</v>
      </c>
      <c r="C406" s="4">
        <v>82.4</v>
      </c>
      <c r="D406" s="5">
        <v>23717633.515625</v>
      </c>
      <c r="E406" s="5">
        <v>44199272.125</v>
      </c>
      <c r="F406" s="5">
        <v>26811062.15625</v>
      </c>
      <c r="G406" s="3">
        <v>35</v>
      </c>
      <c r="H406" s="3">
        <v>34</v>
      </c>
      <c r="I406" s="3">
        <v>32</v>
      </c>
      <c r="J406" s="6">
        <v>40.926823207851911</v>
      </c>
      <c r="K406" s="6">
        <v>33.152861952861954</v>
      </c>
      <c r="L406" s="6">
        <v>28.590251079785471</v>
      </c>
    </row>
    <row r="407" spans="1:12" x14ac:dyDescent="0.25">
      <c r="A407" s="2" t="s">
        <v>1630</v>
      </c>
      <c r="B407" s="2" t="s">
        <v>1086</v>
      </c>
      <c r="C407" s="4">
        <v>101</v>
      </c>
      <c r="D407" s="5">
        <v>1019429.28125</v>
      </c>
      <c r="E407" s="5">
        <v>4756216.046875</v>
      </c>
      <c r="F407" s="5">
        <v>6012854.21875</v>
      </c>
      <c r="G407" s="3">
        <v>9</v>
      </c>
      <c r="H407" s="3">
        <v>16</v>
      </c>
      <c r="I407" s="3">
        <v>14</v>
      </c>
      <c r="J407" s="6">
        <v>10.524040253447634</v>
      </c>
      <c r="K407" s="6">
        <v>15.601346801346802</v>
      </c>
      <c r="L407" s="6">
        <v>12.508234847406143</v>
      </c>
    </row>
    <row r="408" spans="1:12" x14ac:dyDescent="0.25">
      <c r="A408" s="2" t="s">
        <v>1631</v>
      </c>
      <c r="B408" s="2" t="s">
        <v>1632</v>
      </c>
      <c r="C408" s="4">
        <v>23.8</v>
      </c>
      <c r="D408" s="5">
        <v>3973477.9375</v>
      </c>
      <c r="E408" s="5">
        <v>5982532.4375</v>
      </c>
      <c r="F408" s="5">
        <v>6968112.0625</v>
      </c>
      <c r="G408" s="3">
        <v>8</v>
      </c>
      <c r="H408" s="3">
        <v>9</v>
      </c>
      <c r="I408" s="3">
        <v>9</v>
      </c>
      <c r="J408" s="6">
        <v>9.3547024475090073</v>
      </c>
      <c r="K408" s="6">
        <v>8.7757575757575754</v>
      </c>
      <c r="L408" s="6">
        <v>8.0410081161896638</v>
      </c>
    </row>
    <row r="409" spans="1:12" x14ac:dyDescent="0.25">
      <c r="A409" s="2" t="s">
        <v>1633</v>
      </c>
      <c r="B409" s="2" t="s">
        <v>1634</v>
      </c>
      <c r="C409" s="4">
        <v>33.200000000000003</v>
      </c>
      <c r="D409" s="5">
        <v>837601.0625</v>
      </c>
      <c r="E409" s="5">
        <v>1172642.40625</v>
      </c>
      <c r="F409" s="5">
        <v>2586148.625</v>
      </c>
      <c r="G409" s="3">
        <v>2</v>
      </c>
      <c r="H409" s="3">
        <v>3</v>
      </c>
      <c r="I409" s="3">
        <v>4</v>
      </c>
      <c r="J409" s="6">
        <v>2.3386756118772518</v>
      </c>
      <c r="K409" s="6">
        <v>2.9252525252525254</v>
      </c>
      <c r="L409" s="6">
        <v>3.5737813849731839</v>
      </c>
    </row>
    <row r="410" spans="1:12" x14ac:dyDescent="0.25">
      <c r="A410" s="2" t="s">
        <v>1635</v>
      </c>
      <c r="B410" s="2" t="s">
        <v>1119</v>
      </c>
      <c r="C410" s="4">
        <v>47.2</v>
      </c>
      <c r="D410" s="5">
        <v>8008908.6953125</v>
      </c>
      <c r="E410" s="5">
        <v>13453131.90625</v>
      </c>
      <c r="F410" s="5">
        <v>15924051.875</v>
      </c>
      <c r="G410" s="3">
        <v>25</v>
      </c>
      <c r="H410" s="3">
        <v>25</v>
      </c>
      <c r="I410" s="3">
        <v>25</v>
      </c>
      <c r="J410" s="6">
        <v>29.233445148465648</v>
      </c>
      <c r="K410" s="6">
        <v>24.377104377104377</v>
      </c>
      <c r="L410" s="6">
        <v>22.336133656082396</v>
      </c>
    </row>
    <row r="411" spans="1:12" x14ac:dyDescent="0.25">
      <c r="A411" s="2" t="s">
        <v>1636</v>
      </c>
      <c r="B411" s="2" t="s">
        <v>1637</v>
      </c>
      <c r="C411" s="4">
        <v>63.9</v>
      </c>
      <c r="D411" s="5">
        <v>0</v>
      </c>
      <c r="E411" s="5">
        <v>2053545</v>
      </c>
      <c r="F411" s="5">
        <v>2695623.1875</v>
      </c>
      <c r="G411" s="3"/>
      <c r="H411" s="3">
        <v>4</v>
      </c>
      <c r="I411" s="3">
        <v>5</v>
      </c>
      <c r="J411" s="6" t="s">
        <v>986</v>
      </c>
      <c r="K411" s="6">
        <v>3.9003367003367004</v>
      </c>
      <c r="L411" s="6">
        <v>4.4672267312164795</v>
      </c>
    </row>
    <row r="412" spans="1:12" x14ac:dyDescent="0.25">
      <c r="A412" s="2" t="s">
        <v>1638</v>
      </c>
      <c r="B412" s="2" t="s">
        <v>1639</v>
      </c>
      <c r="C412" s="4">
        <v>72.7</v>
      </c>
      <c r="D412" s="5">
        <v>1071471.78125</v>
      </c>
      <c r="E412" s="5">
        <v>1498953.6875</v>
      </c>
      <c r="F412" s="5">
        <v>1326107.5625</v>
      </c>
      <c r="G412" s="3">
        <v>3</v>
      </c>
      <c r="H412" s="3">
        <v>4</v>
      </c>
      <c r="I412" s="3">
        <v>3</v>
      </c>
      <c r="J412" s="6">
        <v>3.5080134178158779</v>
      </c>
      <c r="K412" s="6">
        <v>3.9003367003367004</v>
      </c>
      <c r="L412" s="6">
        <v>2.6803360387298878</v>
      </c>
    </row>
    <row r="413" spans="1:12" x14ac:dyDescent="0.25">
      <c r="A413" s="2" t="s">
        <v>1640</v>
      </c>
      <c r="B413" s="2" t="s">
        <v>1189</v>
      </c>
      <c r="C413" s="4">
        <v>150.6</v>
      </c>
      <c r="D413" s="5">
        <v>1104246.8359375</v>
      </c>
      <c r="E413" s="5">
        <v>889403.7890625</v>
      </c>
      <c r="F413" s="5">
        <v>0</v>
      </c>
      <c r="G413" s="3">
        <v>4</v>
      </c>
      <c r="H413" s="3">
        <v>9</v>
      </c>
      <c r="I413" s="3"/>
      <c r="J413" s="6">
        <v>4.6773512237545036</v>
      </c>
      <c r="K413" s="6">
        <v>8.7757575757575754</v>
      </c>
      <c r="L413" s="6" t="s">
        <v>986</v>
      </c>
    </row>
    <row r="414" spans="1:12" x14ac:dyDescent="0.25">
      <c r="A414" s="2" t="s">
        <v>1641</v>
      </c>
      <c r="B414" s="2" t="s">
        <v>1433</v>
      </c>
      <c r="C414" s="4">
        <v>62.9</v>
      </c>
      <c r="D414" s="5">
        <v>1939643.078125</v>
      </c>
      <c r="E414" s="5">
        <v>1183933</v>
      </c>
      <c r="F414" s="5">
        <v>1097628.5</v>
      </c>
      <c r="G414" s="3">
        <v>6</v>
      </c>
      <c r="H414" s="3">
        <v>3</v>
      </c>
      <c r="I414" s="3">
        <v>3</v>
      </c>
      <c r="J414" s="6">
        <v>7.0160268356317559</v>
      </c>
      <c r="K414" s="6">
        <v>2.9252525252525254</v>
      </c>
      <c r="L414" s="6">
        <v>2.6803360387298878</v>
      </c>
    </row>
    <row r="415" spans="1:12" x14ac:dyDescent="0.25">
      <c r="A415" s="2" t="s">
        <v>1642</v>
      </c>
      <c r="B415" s="2" t="s">
        <v>1191</v>
      </c>
      <c r="C415" s="4">
        <v>21.5</v>
      </c>
      <c r="D415" s="5">
        <v>1972822.9375</v>
      </c>
      <c r="E415" s="5">
        <v>1573204.79296875</v>
      </c>
      <c r="F415" s="5">
        <v>2421908.625</v>
      </c>
      <c r="G415" s="3">
        <v>10</v>
      </c>
      <c r="H415" s="3">
        <v>10</v>
      </c>
      <c r="I415" s="3">
        <v>9</v>
      </c>
      <c r="J415" s="6">
        <v>11.693378059386259</v>
      </c>
      <c r="K415" s="6">
        <v>9.7508417508417509</v>
      </c>
      <c r="L415" s="6">
        <v>8.0410081161896638</v>
      </c>
    </row>
    <row r="416" spans="1:12" x14ac:dyDescent="0.25">
      <c r="A416" s="2" t="s">
        <v>1643</v>
      </c>
      <c r="B416" s="2" t="s">
        <v>1255</v>
      </c>
      <c r="C416" s="4">
        <v>45.6</v>
      </c>
      <c r="D416" s="5">
        <v>0</v>
      </c>
      <c r="E416" s="5">
        <v>357775.46875</v>
      </c>
      <c r="F416" s="5">
        <v>384124.71875</v>
      </c>
      <c r="G416" s="3"/>
      <c r="H416" s="3">
        <v>2</v>
      </c>
      <c r="I416" s="3">
        <v>2</v>
      </c>
      <c r="J416" s="6" t="s">
        <v>986</v>
      </c>
      <c r="K416" s="6">
        <v>1.9501683501683502</v>
      </c>
      <c r="L416" s="6">
        <v>1.7868906924865919</v>
      </c>
    </row>
    <row r="417" spans="1:12" x14ac:dyDescent="0.25">
      <c r="A417" s="2" t="s">
        <v>1644</v>
      </c>
      <c r="B417" s="2" t="s">
        <v>1645</v>
      </c>
      <c r="C417" s="4">
        <v>15.5</v>
      </c>
      <c r="D417" s="5">
        <v>0</v>
      </c>
      <c r="E417" s="5">
        <v>2533515.15625</v>
      </c>
      <c r="F417" s="5">
        <v>6300992.5625</v>
      </c>
      <c r="G417" s="3"/>
      <c r="H417" s="3">
        <v>8</v>
      </c>
      <c r="I417" s="3">
        <v>9</v>
      </c>
      <c r="J417" s="6" t="s">
        <v>986</v>
      </c>
      <c r="K417" s="6">
        <v>7.8006734006734009</v>
      </c>
      <c r="L417" s="6">
        <v>8.0410081161896638</v>
      </c>
    </row>
    <row r="418" spans="1:12" x14ac:dyDescent="0.25">
      <c r="A418" s="2" t="s">
        <v>1646</v>
      </c>
      <c r="B418" s="2" t="s">
        <v>1034</v>
      </c>
      <c r="C418" s="4">
        <v>50.3</v>
      </c>
      <c r="D418" s="5">
        <v>2274606.453125</v>
      </c>
      <c r="E418" s="5">
        <v>3434900.21875</v>
      </c>
      <c r="F418" s="5">
        <v>2718728.359375</v>
      </c>
      <c r="G418" s="3">
        <v>13</v>
      </c>
      <c r="H418" s="3">
        <v>11</v>
      </c>
      <c r="I418" s="3">
        <v>9</v>
      </c>
      <c r="J418" s="6">
        <v>15.201391477202138</v>
      </c>
      <c r="K418" s="6">
        <v>10.725925925925926</v>
      </c>
      <c r="L418" s="6">
        <v>8.0410081161896638</v>
      </c>
    </row>
    <row r="419" spans="1:12" x14ac:dyDescent="0.25">
      <c r="A419" s="2" t="s">
        <v>1647</v>
      </c>
      <c r="B419" s="2" t="s">
        <v>1648</v>
      </c>
      <c r="C419" s="4">
        <v>71.099999999999994</v>
      </c>
      <c r="D419" s="5">
        <v>2732971.5703125</v>
      </c>
      <c r="E419" s="5">
        <v>3698883.375</v>
      </c>
      <c r="F419" s="5">
        <v>7325947.3125</v>
      </c>
      <c r="G419" s="3">
        <v>27</v>
      </c>
      <c r="H419" s="3">
        <v>26</v>
      </c>
      <c r="I419" s="3">
        <v>26</v>
      </c>
      <c r="J419" s="6">
        <v>31.572120760342898</v>
      </c>
      <c r="K419" s="6">
        <v>25.352188552188554</v>
      </c>
      <c r="L419" s="6">
        <v>23.229579002325693</v>
      </c>
    </row>
    <row r="420" spans="1:12" x14ac:dyDescent="0.25">
      <c r="A420" s="2" t="s">
        <v>1649</v>
      </c>
      <c r="B420" s="2" t="s">
        <v>1650</v>
      </c>
      <c r="C420" s="4">
        <v>53.4</v>
      </c>
      <c r="D420" s="5">
        <v>850540.1875</v>
      </c>
      <c r="E420" s="5">
        <v>0</v>
      </c>
      <c r="F420" s="5">
        <v>548374.234375</v>
      </c>
      <c r="G420" s="3">
        <v>5</v>
      </c>
      <c r="H420" s="3">
        <v>2</v>
      </c>
      <c r="I420" s="3">
        <v>4</v>
      </c>
      <c r="J420" s="6">
        <v>5.8466890296931293</v>
      </c>
      <c r="K420" s="6">
        <v>1.9501683501683502</v>
      </c>
      <c r="L420" s="6">
        <v>3.5737813849731839</v>
      </c>
    </row>
    <row r="421" spans="1:12" x14ac:dyDescent="0.25">
      <c r="A421" s="2" t="s">
        <v>1651</v>
      </c>
      <c r="B421" s="2" t="s">
        <v>1409</v>
      </c>
      <c r="C421" s="4">
        <v>60.9</v>
      </c>
      <c r="D421" s="5">
        <v>1160609.6875</v>
      </c>
      <c r="E421" s="5">
        <v>1249843.90625</v>
      </c>
      <c r="F421" s="5">
        <v>710287.75</v>
      </c>
      <c r="G421" s="3">
        <v>14</v>
      </c>
      <c r="H421" s="3">
        <v>13</v>
      </c>
      <c r="I421" s="3">
        <v>9</v>
      </c>
      <c r="J421" s="6">
        <v>16.370729283140761</v>
      </c>
      <c r="K421" s="6">
        <v>12.676094276094277</v>
      </c>
      <c r="L421" s="6">
        <v>8.0410081161896638</v>
      </c>
    </row>
    <row r="422" spans="1:12" x14ac:dyDescent="0.25">
      <c r="A422" s="2" t="s">
        <v>1652</v>
      </c>
      <c r="B422" s="2" t="s">
        <v>1029</v>
      </c>
      <c r="C422" s="4">
        <v>52.5</v>
      </c>
      <c r="D422" s="5">
        <v>2084718.875</v>
      </c>
      <c r="E422" s="5">
        <v>1944370.4375</v>
      </c>
      <c r="F422" s="5">
        <v>1836979.375</v>
      </c>
      <c r="G422" s="3">
        <v>5</v>
      </c>
      <c r="H422" s="3">
        <v>4</v>
      </c>
      <c r="I422" s="3">
        <v>3</v>
      </c>
      <c r="J422" s="6">
        <v>5.8466890296931293</v>
      </c>
      <c r="K422" s="6">
        <v>3.9003367003367004</v>
      </c>
      <c r="L422" s="6">
        <v>2.6803360387298878</v>
      </c>
    </row>
    <row r="423" spans="1:12" x14ac:dyDescent="0.25">
      <c r="A423" s="2" t="s">
        <v>1653</v>
      </c>
      <c r="B423" s="2" t="s">
        <v>1122</v>
      </c>
      <c r="C423" s="4">
        <v>25.1</v>
      </c>
      <c r="D423" s="5">
        <v>7655765.234375</v>
      </c>
      <c r="E423" s="5">
        <v>10700584.3125</v>
      </c>
      <c r="F423" s="5">
        <v>12563369.65625</v>
      </c>
      <c r="G423" s="3">
        <v>15</v>
      </c>
      <c r="H423" s="3">
        <v>10</v>
      </c>
      <c r="I423" s="3">
        <v>10</v>
      </c>
      <c r="J423" s="6">
        <v>17.54006708907939</v>
      </c>
      <c r="K423" s="6">
        <v>9.7508417508417509</v>
      </c>
      <c r="L423" s="6">
        <v>8.934453462432959</v>
      </c>
    </row>
    <row r="424" spans="1:12" x14ac:dyDescent="0.25">
      <c r="A424" s="2" t="s">
        <v>1654</v>
      </c>
      <c r="B424" s="2" t="s">
        <v>1655</v>
      </c>
      <c r="C424" s="4">
        <v>28.4</v>
      </c>
      <c r="D424" s="5">
        <v>3526673.125</v>
      </c>
      <c r="E424" s="5">
        <v>6245569.625</v>
      </c>
      <c r="F424" s="5">
        <v>11547378.25</v>
      </c>
      <c r="G424" s="3">
        <v>5</v>
      </c>
      <c r="H424" s="3">
        <v>7</v>
      </c>
      <c r="I424" s="3">
        <v>7</v>
      </c>
      <c r="J424" s="6">
        <v>5.8466890296931293</v>
      </c>
      <c r="K424" s="6">
        <v>6.8255892255892263</v>
      </c>
      <c r="L424" s="6">
        <v>6.2541174237030717</v>
      </c>
    </row>
    <row r="425" spans="1:12" x14ac:dyDescent="0.25">
      <c r="A425" s="2" t="s">
        <v>1656</v>
      </c>
      <c r="B425" s="2" t="s">
        <v>1657</v>
      </c>
      <c r="C425" s="4">
        <v>114.5</v>
      </c>
      <c r="D425" s="5">
        <v>803741.6875</v>
      </c>
      <c r="E425" s="5">
        <v>2338706.375</v>
      </c>
      <c r="F425" s="5">
        <v>3535384.84375</v>
      </c>
      <c r="G425" s="3">
        <v>3</v>
      </c>
      <c r="H425" s="3">
        <v>6</v>
      </c>
      <c r="I425" s="3">
        <v>7</v>
      </c>
      <c r="J425" s="6">
        <v>3.5080134178158779</v>
      </c>
      <c r="K425" s="6">
        <v>5.8505050505050509</v>
      </c>
      <c r="L425" s="6">
        <v>6.2541174237030717</v>
      </c>
    </row>
    <row r="426" spans="1:12" x14ac:dyDescent="0.25">
      <c r="A426" s="2" t="s">
        <v>1658</v>
      </c>
      <c r="B426" s="2" t="s">
        <v>1119</v>
      </c>
      <c r="C426" s="4">
        <v>46.5</v>
      </c>
      <c r="D426" s="5">
        <v>1595459.015625</v>
      </c>
      <c r="E426" s="5">
        <v>1423360</v>
      </c>
      <c r="F426" s="5">
        <v>410352.90625</v>
      </c>
      <c r="G426" s="3">
        <v>15</v>
      </c>
      <c r="H426" s="3">
        <v>10</v>
      </c>
      <c r="I426" s="3">
        <v>8</v>
      </c>
      <c r="J426" s="6">
        <v>17.54006708907939</v>
      </c>
      <c r="K426" s="6">
        <v>9.7508417508417509</v>
      </c>
      <c r="L426" s="6">
        <v>7.1475627699463677</v>
      </c>
    </row>
    <row r="427" spans="1:12" x14ac:dyDescent="0.25">
      <c r="A427" s="2" t="s">
        <v>1659</v>
      </c>
      <c r="B427" s="2" t="s">
        <v>1073</v>
      </c>
      <c r="C427" s="4">
        <v>29.7</v>
      </c>
      <c r="D427" s="5">
        <v>10578599.3984375</v>
      </c>
      <c r="E427" s="5">
        <v>15058615.75</v>
      </c>
      <c r="F427" s="5">
        <v>13947187.046875</v>
      </c>
      <c r="G427" s="3">
        <v>18</v>
      </c>
      <c r="H427" s="3">
        <v>22</v>
      </c>
      <c r="I427" s="3">
        <v>23</v>
      </c>
      <c r="J427" s="6">
        <v>21.048080506895268</v>
      </c>
      <c r="K427" s="6">
        <v>21.451851851851853</v>
      </c>
      <c r="L427" s="6">
        <v>20.549242963595805</v>
      </c>
    </row>
    <row r="428" spans="1:12" x14ac:dyDescent="0.25">
      <c r="A428" s="2" t="s">
        <v>1660</v>
      </c>
      <c r="B428" s="2" t="s">
        <v>1050</v>
      </c>
      <c r="C428" s="4">
        <v>56.5</v>
      </c>
      <c r="D428" s="5">
        <v>796881.392578125</v>
      </c>
      <c r="E428" s="5">
        <v>1658275.34375</v>
      </c>
      <c r="F428" s="5">
        <v>1065132.1875</v>
      </c>
      <c r="G428" s="3">
        <v>7</v>
      </c>
      <c r="H428" s="3">
        <v>7</v>
      </c>
      <c r="I428" s="3">
        <v>6</v>
      </c>
      <c r="J428" s="6">
        <v>8.1853646415703807</v>
      </c>
      <c r="K428" s="6">
        <v>6.8255892255892263</v>
      </c>
      <c r="L428" s="6">
        <v>5.3606720774597756</v>
      </c>
    </row>
    <row r="429" spans="1:12" x14ac:dyDescent="0.25">
      <c r="A429" s="2" t="s">
        <v>1661</v>
      </c>
      <c r="B429" s="2" t="s">
        <v>1662</v>
      </c>
      <c r="C429" s="4">
        <v>49.8</v>
      </c>
      <c r="D429" s="5">
        <v>261095.7578125</v>
      </c>
      <c r="E429" s="5">
        <v>296151.90625</v>
      </c>
      <c r="F429" s="5">
        <v>0</v>
      </c>
      <c r="G429" s="3">
        <v>3</v>
      </c>
      <c r="H429" s="3">
        <v>2</v>
      </c>
      <c r="I429" s="3"/>
      <c r="J429" s="6">
        <v>3.5080134178158779</v>
      </c>
      <c r="K429" s="6">
        <v>1.9501683501683502</v>
      </c>
      <c r="L429" s="6" t="s">
        <v>986</v>
      </c>
    </row>
    <row r="430" spans="1:12" x14ac:dyDescent="0.25">
      <c r="A430" s="2" t="s">
        <v>1663</v>
      </c>
      <c r="B430" s="2" t="s">
        <v>1086</v>
      </c>
      <c r="C430" s="4">
        <v>42.9</v>
      </c>
      <c r="D430" s="5">
        <v>4038745.5</v>
      </c>
      <c r="E430" s="5">
        <v>4614832.5</v>
      </c>
      <c r="F430" s="5">
        <v>5304321</v>
      </c>
      <c r="G430" s="3">
        <v>55</v>
      </c>
      <c r="H430" s="3">
        <v>48</v>
      </c>
      <c r="I430" s="3">
        <v>47</v>
      </c>
      <c r="J430" s="6">
        <v>64.313579326624421</v>
      </c>
      <c r="K430" s="6">
        <v>46.804040404040407</v>
      </c>
      <c r="L430" s="6">
        <v>41.991931273434908</v>
      </c>
    </row>
    <row r="431" spans="1:12" x14ac:dyDescent="0.25">
      <c r="A431" s="2" t="s">
        <v>1664</v>
      </c>
      <c r="B431" s="2" t="s">
        <v>1665</v>
      </c>
      <c r="C431" s="4">
        <v>14</v>
      </c>
      <c r="D431" s="5">
        <v>95895.8359375</v>
      </c>
      <c r="E431" s="5">
        <v>0</v>
      </c>
      <c r="F431" s="5">
        <v>0</v>
      </c>
      <c r="G431" s="3">
        <v>4</v>
      </c>
      <c r="H431" s="3">
        <v>3</v>
      </c>
      <c r="I431" s="3">
        <v>3</v>
      </c>
      <c r="J431" s="6">
        <v>4.6773512237545036</v>
      </c>
      <c r="K431" s="6">
        <v>2.9252525252525254</v>
      </c>
      <c r="L431" s="6">
        <v>2.6803360387298878</v>
      </c>
    </row>
    <row r="432" spans="1:12" x14ac:dyDescent="0.25">
      <c r="A432" s="2" t="s">
        <v>1666</v>
      </c>
      <c r="B432" s="2" t="s">
        <v>1056</v>
      </c>
      <c r="C432" s="4">
        <v>10.6</v>
      </c>
      <c r="D432" s="5">
        <v>474537.046875</v>
      </c>
      <c r="E432" s="5">
        <v>199443.140625</v>
      </c>
      <c r="F432" s="5">
        <v>164353.484375</v>
      </c>
      <c r="G432" s="3">
        <v>11</v>
      </c>
      <c r="H432" s="3">
        <v>9</v>
      </c>
      <c r="I432" s="3">
        <v>8</v>
      </c>
      <c r="J432" s="6">
        <v>12.862715865324887</v>
      </c>
      <c r="K432" s="6">
        <v>8.7757575757575754</v>
      </c>
      <c r="L432" s="6">
        <v>7.1475627699463677</v>
      </c>
    </row>
    <row r="433" spans="1:12" x14ac:dyDescent="0.25">
      <c r="A433" s="2" t="s">
        <v>1667</v>
      </c>
      <c r="B433" s="2" t="s">
        <v>1046</v>
      </c>
      <c r="C433" s="4">
        <v>27.3</v>
      </c>
      <c r="D433" s="5">
        <v>2646164.1640625</v>
      </c>
      <c r="E433" s="5">
        <v>3698435.875</v>
      </c>
      <c r="F433" s="5">
        <v>3092756.734375</v>
      </c>
      <c r="G433" s="3">
        <v>5</v>
      </c>
      <c r="H433" s="3">
        <v>4</v>
      </c>
      <c r="I433" s="3">
        <v>4</v>
      </c>
      <c r="J433" s="6">
        <v>5.8466890296931293</v>
      </c>
      <c r="K433" s="6">
        <v>3.9003367003367004</v>
      </c>
      <c r="L433" s="6">
        <v>3.5737813849731839</v>
      </c>
    </row>
    <row r="434" spans="1:12" x14ac:dyDescent="0.25">
      <c r="A434" s="2" t="s">
        <v>1668</v>
      </c>
      <c r="B434" s="2" t="s">
        <v>1196</v>
      </c>
      <c r="C434" s="4">
        <v>22.1</v>
      </c>
      <c r="D434" s="5">
        <v>0</v>
      </c>
      <c r="E434" s="5">
        <v>2715532</v>
      </c>
      <c r="F434" s="5">
        <v>3051485.75</v>
      </c>
      <c r="G434" s="3"/>
      <c r="H434" s="3">
        <v>5</v>
      </c>
      <c r="I434" s="3">
        <v>5</v>
      </c>
      <c r="J434" s="6" t="s">
        <v>986</v>
      </c>
      <c r="K434" s="6">
        <v>4.8754208754208754</v>
      </c>
      <c r="L434" s="6">
        <v>4.4672267312164795</v>
      </c>
    </row>
    <row r="435" spans="1:12" x14ac:dyDescent="0.25">
      <c r="A435" s="2" t="s">
        <v>1669</v>
      </c>
      <c r="B435" s="2" t="s">
        <v>1025</v>
      </c>
      <c r="C435" s="4">
        <v>22.9</v>
      </c>
      <c r="D435" s="5">
        <v>785405.71875</v>
      </c>
      <c r="E435" s="5">
        <v>6792709.8125</v>
      </c>
      <c r="F435" s="5">
        <v>14028714.625</v>
      </c>
      <c r="G435" s="3">
        <v>4</v>
      </c>
      <c r="H435" s="3">
        <v>12</v>
      </c>
      <c r="I435" s="3">
        <v>16</v>
      </c>
      <c r="J435" s="6">
        <v>4.6773512237545036</v>
      </c>
      <c r="K435" s="6">
        <v>11.701010101010102</v>
      </c>
      <c r="L435" s="6">
        <v>14.295125539892735</v>
      </c>
    </row>
    <row r="436" spans="1:12" x14ac:dyDescent="0.25">
      <c r="A436" s="2" t="s">
        <v>1670</v>
      </c>
      <c r="B436" s="2" t="s">
        <v>1272</v>
      </c>
      <c r="C436" s="4">
        <v>28.9</v>
      </c>
      <c r="D436" s="5">
        <v>1170909.375</v>
      </c>
      <c r="E436" s="5">
        <v>2869618.125</v>
      </c>
      <c r="F436" s="5">
        <v>2246154.375</v>
      </c>
      <c r="G436" s="3">
        <v>14</v>
      </c>
      <c r="H436" s="3">
        <v>15</v>
      </c>
      <c r="I436" s="3">
        <v>14</v>
      </c>
      <c r="J436" s="6">
        <v>16.370729283140761</v>
      </c>
      <c r="K436" s="6">
        <v>14.626262626262626</v>
      </c>
      <c r="L436" s="6">
        <v>12.508234847406143</v>
      </c>
    </row>
    <row r="437" spans="1:12" x14ac:dyDescent="0.25">
      <c r="A437" s="2" t="s">
        <v>1671</v>
      </c>
      <c r="B437" s="2" t="s">
        <v>1398</v>
      </c>
      <c r="C437" s="4">
        <v>38.299999999999997</v>
      </c>
      <c r="D437" s="5">
        <v>4018914.8125</v>
      </c>
      <c r="E437" s="5">
        <v>4155707.03125</v>
      </c>
      <c r="F437" s="5">
        <v>7219540.625</v>
      </c>
      <c r="G437" s="3">
        <v>32</v>
      </c>
      <c r="H437" s="3">
        <v>33</v>
      </c>
      <c r="I437" s="3">
        <v>35</v>
      </c>
      <c r="J437" s="6">
        <v>37.418809790036029</v>
      </c>
      <c r="K437" s="6">
        <v>32.177777777777777</v>
      </c>
      <c r="L437" s="6">
        <v>31.270587118515355</v>
      </c>
    </row>
    <row r="438" spans="1:12" x14ac:dyDescent="0.25">
      <c r="A438" s="2" t="s">
        <v>1672</v>
      </c>
      <c r="B438" s="2" t="s">
        <v>1673</v>
      </c>
      <c r="C438" s="4">
        <v>23.5</v>
      </c>
      <c r="D438" s="5">
        <v>1128299.78125</v>
      </c>
      <c r="E438" s="5">
        <v>2720337.3125</v>
      </c>
      <c r="F438" s="5">
        <v>0</v>
      </c>
      <c r="G438" s="3">
        <v>4</v>
      </c>
      <c r="H438" s="3">
        <v>4</v>
      </c>
      <c r="I438" s="3"/>
      <c r="J438" s="6">
        <v>4.6773512237545036</v>
      </c>
      <c r="K438" s="6">
        <v>3.9003367003367004</v>
      </c>
      <c r="L438" s="6" t="s">
        <v>986</v>
      </c>
    </row>
    <row r="439" spans="1:12" x14ac:dyDescent="0.25">
      <c r="A439" s="2" t="s">
        <v>1674</v>
      </c>
      <c r="B439" s="2" t="s">
        <v>1205</v>
      </c>
      <c r="C439" s="4">
        <v>42.7</v>
      </c>
      <c r="D439" s="5">
        <v>408485181.01953101</v>
      </c>
      <c r="E439" s="5">
        <v>1386048436.4052701</v>
      </c>
      <c r="F439" s="5">
        <v>2309056532.48242</v>
      </c>
      <c r="G439" s="3">
        <v>249</v>
      </c>
      <c r="H439" s="3">
        <v>313</v>
      </c>
      <c r="I439" s="3">
        <v>372</v>
      </c>
      <c r="J439" s="6">
        <v>291.16511367871783</v>
      </c>
      <c r="K439" s="6">
        <v>305.20134680134686</v>
      </c>
      <c r="L439" s="6">
        <v>332.36166880250607</v>
      </c>
    </row>
    <row r="440" spans="1:12" x14ac:dyDescent="0.25">
      <c r="A440" s="2" t="s">
        <v>1675</v>
      </c>
      <c r="B440" s="2" t="s">
        <v>1676</v>
      </c>
      <c r="C440" s="4">
        <v>39.299999999999997</v>
      </c>
      <c r="D440" s="5">
        <v>0</v>
      </c>
      <c r="E440" s="5">
        <v>2795512.65625</v>
      </c>
      <c r="F440" s="5">
        <v>3343231.40625</v>
      </c>
      <c r="G440" s="3"/>
      <c r="H440" s="3">
        <v>5</v>
      </c>
      <c r="I440" s="3">
        <v>7</v>
      </c>
      <c r="J440" s="6" t="s">
        <v>986</v>
      </c>
      <c r="K440" s="6">
        <v>4.8754208754208754</v>
      </c>
      <c r="L440" s="6">
        <v>6.2541174237030717</v>
      </c>
    </row>
    <row r="441" spans="1:12" x14ac:dyDescent="0.25">
      <c r="A441" s="2" t="s">
        <v>1677</v>
      </c>
      <c r="B441" s="2" t="s">
        <v>1335</v>
      </c>
      <c r="C441" s="4">
        <v>115.9</v>
      </c>
      <c r="D441" s="5">
        <v>986561.6796875</v>
      </c>
      <c r="E441" s="5">
        <v>1162292.5625</v>
      </c>
      <c r="F441" s="5">
        <v>1493354.46875</v>
      </c>
      <c r="G441" s="3">
        <v>6</v>
      </c>
      <c r="H441" s="3">
        <v>6</v>
      </c>
      <c r="I441" s="3">
        <v>5</v>
      </c>
      <c r="J441" s="6">
        <v>7.0160268356317559</v>
      </c>
      <c r="K441" s="6">
        <v>5.8505050505050509</v>
      </c>
      <c r="L441" s="6">
        <v>4.4672267312164795</v>
      </c>
    </row>
    <row r="442" spans="1:12" x14ac:dyDescent="0.25">
      <c r="A442" s="2" t="s">
        <v>1678</v>
      </c>
      <c r="B442" s="2" t="s">
        <v>1362</v>
      </c>
      <c r="C442" s="4">
        <v>42.8</v>
      </c>
      <c r="D442" s="5">
        <v>0</v>
      </c>
      <c r="E442" s="5">
        <v>548327</v>
      </c>
      <c r="F442" s="5">
        <v>1208779.8125</v>
      </c>
      <c r="G442" s="3"/>
      <c r="H442" s="3">
        <v>9</v>
      </c>
      <c r="I442" s="3">
        <v>16</v>
      </c>
      <c r="J442" s="6" t="s">
        <v>986</v>
      </c>
      <c r="K442" s="6">
        <v>8.7757575757575754</v>
      </c>
      <c r="L442" s="6">
        <v>14.295125539892735</v>
      </c>
    </row>
    <row r="443" spans="1:12" x14ac:dyDescent="0.25">
      <c r="A443" s="2" t="s">
        <v>1679</v>
      </c>
      <c r="B443" s="2" t="s">
        <v>1167</v>
      </c>
      <c r="C443" s="4">
        <v>37.700000000000003</v>
      </c>
      <c r="D443" s="5">
        <v>0</v>
      </c>
      <c r="E443" s="5">
        <v>0</v>
      </c>
      <c r="F443" s="5">
        <v>2108369.21875</v>
      </c>
      <c r="G443" s="3"/>
      <c r="H443" s="3"/>
      <c r="I443" s="3">
        <v>5</v>
      </c>
      <c r="J443" s="6" t="s">
        <v>986</v>
      </c>
      <c r="K443" s="6" t="s">
        <v>986</v>
      </c>
      <c r="L443" s="6">
        <v>4.4672267312164795</v>
      </c>
    </row>
    <row r="444" spans="1:12" x14ac:dyDescent="0.25">
      <c r="A444" s="2" t="s">
        <v>1680</v>
      </c>
      <c r="B444" s="2" t="s">
        <v>1203</v>
      </c>
      <c r="C444" s="4">
        <v>48.9</v>
      </c>
      <c r="D444" s="5">
        <v>544633.15625</v>
      </c>
      <c r="E444" s="5">
        <v>0</v>
      </c>
      <c r="F444" s="5">
        <v>2171675.875</v>
      </c>
      <c r="G444" s="3">
        <v>2</v>
      </c>
      <c r="H444" s="3"/>
      <c r="I444" s="3">
        <v>7</v>
      </c>
      <c r="J444" s="6">
        <v>2.3386756118772518</v>
      </c>
      <c r="K444" s="6" t="s">
        <v>986</v>
      </c>
      <c r="L444" s="6">
        <v>6.2541174237030717</v>
      </c>
    </row>
    <row r="445" spans="1:12" x14ac:dyDescent="0.25">
      <c r="A445" s="2" t="s">
        <v>1681</v>
      </c>
      <c r="B445" s="2" t="s">
        <v>1167</v>
      </c>
      <c r="C445" s="4">
        <v>35.6</v>
      </c>
      <c r="D445" s="5">
        <v>0</v>
      </c>
      <c r="E445" s="5">
        <v>0</v>
      </c>
      <c r="F445" s="5">
        <v>398317.71875</v>
      </c>
      <c r="G445" s="3">
        <v>11</v>
      </c>
      <c r="H445" s="3"/>
      <c r="I445" s="3">
        <v>13</v>
      </c>
      <c r="J445" s="6">
        <v>12.862715865324887</v>
      </c>
      <c r="K445" s="6" t="s">
        <v>986</v>
      </c>
      <c r="L445" s="6">
        <v>11.614789501162846</v>
      </c>
    </row>
    <row r="446" spans="1:12" x14ac:dyDescent="0.25">
      <c r="A446" s="2" t="s">
        <v>1682</v>
      </c>
      <c r="B446" s="2" t="s">
        <v>1235</v>
      </c>
      <c r="C446" s="4">
        <v>104.3</v>
      </c>
      <c r="D446" s="5">
        <v>905421.703125</v>
      </c>
      <c r="E446" s="5">
        <v>0</v>
      </c>
      <c r="F446" s="5">
        <v>6593496.59375</v>
      </c>
      <c r="G446" s="3">
        <v>28</v>
      </c>
      <c r="H446" s="3"/>
      <c r="I446" s="3">
        <v>32</v>
      </c>
      <c r="J446" s="6">
        <v>32.741458566281523</v>
      </c>
      <c r="K446" s="6" t="s">
        <v>986</v>
      </c>
      <c r="L446" s="6">
        <v>28.590251079785471</v>
      </c>
    </row>
    <row r="447" spans="1:12" x14ac:dyDescent="0.25">
      <c r="A447" s="2" t="s">
        <v>1683</v>
      </c>
      <c r="B447" s="2" t="s">
        <v>1684</v>
      </c>
      <c r="C447" s="4">
        <v>28.4</v>
      </c>
      <c r="D447" s="5">
        <v>0</v>
      </c>
      <c r="E447" s="5">
        <v>0</v>
      </c>
      <c r="F447" s="5">
        <v>0</v>
      </c>
      <c r="G447" s="3"/>
      <c r="H447" s="3"/>
      <c r="I447" s="3">
        <v>2</v>
      </c>
      <c r="J447" s="6" t="s">
        <v>986</v>
      </c>
      <c r="K447" s="6" t="s">
        <v>986</v>
      </c>
      <c r="L447" s="6">
        <v>1.7868906924865919</v>
      </c>
    </row>
    <row r="448" spans="1:12" x14ac:dyDescent="0.25">
      <c r="A448" s="2" t="s">
        <v>1685</v>
      </c>
      <c r="B448" s="2" t="s">
        <v>1686</v>
      </c>
      <c r="C448" s="4">
        <v>24.9</v>
      </c>
      <c r="D448" s="5">
        <v>0</v>
      </c>
      <c r="E448" s="5">
        <v>0</v>
      </c>
      <c r="F448" s="5">
        <v>2862766</v>
      </c>
      <c r="G448" s="3"/>
      <c r="H448" s="3"/>
      <c r="I448" s="3">
        <v>3</v>
      </c>
      <c r="J448" s="6" t="s">
        <v>986</v>
      </c>
      <c r="K448" s="6" t="s">
        <v>986</v>
      </c>
      <c r="L448" s="6">
        <v>2.6803360387298878</v>
      </c>
    </row>
    <row r="449" spans="1:12" x14ac:dyDescent="0.25">
      <c r="A449" s="2" t="s">
        <v>1687</v>
      </c>
      <c r="B449" s="2" t="s">
        <v>1688</v>
      </c>
      <c r="C449" s="4">
        <v>54.3</v>
      </c>
      <c r="D449" s="5">
        <v>0</v>
      </c>
      <c r="E449" s="5">
        <v>0</v>
      </c>
      <c r="F449" s="5">
        <v>665989.5625</v>
      </c>
      <c r="G449" s="3"/>
      <c r="H449" s="3"/>
      <c r="I449" s="3">
        <v>3</v>
      </c>
      <c r="J449" s="6" t="s">
        <v>986</v>
      </c>
      <c r="K449" s="6" t="s">
        <v>986</v>
      </c>
      <c r="L449" s="6">
        <v>2.6803360387298878</v>
      </c>
    </row>
    <row r="450" spans="1:12" x14ac:dyDescent="0.25">
      <c r="A450" s="2" t="s">
        <v>1689</v>
      </c>
      <c r="B450" s="2" t="s">
        <v>1362</v>
      </c>
      <c r="C450" s="4">
        <v>39.200000000000003</v>
      </c>
      <c r="D450" s="5">
        <v>0</v>
      </c>
      <c r="E450" s="5">
        <v>0</v>
      </c>
      <c r="F450" s="5">
        <v>439429.40625</v>
      </c>
      <c r="G450" s="3"/>
      <c r="H450" s="3"/>
      <c r="I450" s="3">
        <v>24</v>
      </c>
      <c r="J450" s="6" t="s">
        <v>986</v>
      </c>
      <c r="K450" s="6" t="s">
        <v>986</v>
      </c>
      <c r="L450" s="6">
        <v>21.442688309839102</v>
      </c>
    </row>
    <row r="451" spans="1:12" x14ac:dyDescent="0.25">
      <c r="A451" s="2" t="s">
        <v>1690</v>
      </c>
      <c r="B451" s="2" t="s">
        <v>1048</v>
      </c>
      <c r="C451" s="4">
        <v>27.7</v>
      </c>
      <c r="D451" s="5">
        <v>0</v>
      </c>
      <c r="E451" s="5">
        <v>0</v>
      </c>
      <c r="F451" s="5">
        <v>1220809.625</v>
      </c>
      <c r="G451" s="3"/>
      <c r="H451" s="3"/>
      <c r="I451" s="3">
        <v>3</v>
      </c>
      <c r="J451" s="6" t="s">
        <v>986</v>
      </c>
      <c r="K451" s="6" t="s">
        <v>986</v>
      </c>
      <c r="L451" s="6">
        <v>2.6803360387298878</v>
      </c>
    </row>
    <row r="452" spans="1:12" x14ac:dyDescent="0.25">
      <c r="A452" s="2" t="s">
        <v>1691</v>
      </c>
      <c r="B452" s="2" t="s">
        <v>1032</v>
      </c>
      <c r="C452" s="4">
        <v>43.5</v>
      </c>
      <c r="D452" s="5">
        <v>0</v>
      </c>
      <c r="E452" s="5">
        <v>0</v>
      </c>
      <c r="F452" s="5">
        <v>0</v>
      </c>
      <c r="G452" s="3"/>
      <c r="H452" s="3"/>
      <c r="I452" s="3">
        <v>9</v>
      </c>
      <c r="J452" s="6" t="s">
        <v>986</v>
      </c>
      <c r="K452" s="6" t="s">
        <v>986</v>
      </c>
      <c r="L452" s="6">
        <v>8.0410081161896638</v>
      </c>
    </row>
    <row r="453" spans="1:12" x14ac:dyDescent="0.25">
      <c r="A453" s="2" t="s">
        <v>1692</v>
      </c>
      <c r="B453" s="2" t="s">
        <v>1285</v>
      </c>
      <c r="C453" s="4">
        <v>28</v>
      </c>
      <c r="D453" s="5">
        <v>0</v>
      </c>
      <c r="E453" s="5">
        <v>0</v>
      </c>
      <c r="F453" s="5">
        <v>0</v>
      </c>
      <c r="G453" s="3">
        <v>7</v>
      </c>
      <c r="H453" s="3"/>
      <c r="I453" s="3">
        <v>5</v>
      </c>
      <c r="J453" s="6">
        <v>8.1853646415703807</v>
      </c>
      <c r="K453" s="6" t="s">
        <v>986</v>
      </c>
      <c r="L453" s="6">
        <v>4.4672267312164795</v>
      </c>
    </row>
    <row r="454" spans="1:12" x14ac:dyDescent="0.25">
      <c r="A454" s="2" t="s">
        <v>1693</v>
      </c>
      <c r="B454" s="2" t="s">
        <v>1288</v>
      </c>
      <c r="C454" s="4">
        <v>23.1</v>
      </c>
      <c r="D454" s="5">
        <v>0</v>
      </c>
      <c r="E454" s="5">
        <v>0</v>
      </c>
      <c r="F454" s="5">
        <v>3243713.625</v>
      </c>
      <c r="G454" s="3"/>
      <c r="H454" s="3"/>
      <c r="I454" s="3">
        <v>4</v>
      </c>
      <c r="J454" s="6" t="s">
        <v>986</v>
      </c>
      <c r="K454" s="6" t="s">
        <v>986</v>
      </c>
      <c r="L454" s="6">
        <v>3.5737813849731839</v>
      </c>
    </row>
    <row r="455" spans="1:12" x14ac:dyDescent="0.25">
      <c r="A455" s="2" t="s">
        <v>1694</v>
      </c>
      <c r="B455" s="2" t="s">
        <v>1695</v>
      </c>
      <c r="C455" s="4">
        <v>18.5</v>
      </c>
      <c r="D455" s="5">
        <v>0</v>
      </c>
      <c r="E455" s="5">
        <v>0</v>
      </c>
      <c r="F455" s="5">
        <v>5817690.375</v>
      </c>
      <c r="G455" s="3"/>
      <c r="H455" s="3"/>
      <c r="I455" s="3">
        <v>7</v>
      </c>
      <c r="J455" s="6" t="s">
        <v>986</v>
      </c>
      <c r="K455" s="6" t="s">
        <v>986</v>
      </c>
      <c r="L455" s="6">
        <v>6.2541174237030717</v>
      </c>
    </row>
    <row r="456" spans="1:12" x14ac:dyDescent="0.25">
      <c r="A456" s="2" t="s">
        <v>1696</v>
      </c>
      <c r="B456" s="2" t="s">
        <v>1362</v>
      </c>
      <c r="C456" s="4">
        <v>37</v>
      </c>
      <c r="D456" s="5">
        <v>0</v>
      </c>
      <c r="E456" s="5">
        <v>0</v>
      </c>
      <c r="F456" s="5">
        <v>371394.5</v>
      </c>
      <c r="G456" s="3"/>
      <c r="H456" s="3"/>
      <c r="I456" s="3">
        <v>26</v>
      </c>
      <c r="J456" s="6" t="s">
        <v>986</v>
      </c>
      <c r="K456" s="6" t="s">
        <v>986</v>
      </c>
      <c r="L456" s="6">
        <v>23.229579002325693</v>
      </c>
    </row>
    <row r="457" spans="1:12" x14ac:dyDescent="0.25">
      <c r="A457" s="2" t="s">
        <v>1697</v>
      </c>
      <c r="B457" s="2" t="s">
        <v>1698</v>
      </c>
      <c r="C457" s="4">
        <v>55.4</v>
      </c>
      <c r="D457" s="5">
        <v>712481.59375</v>
      </c>
      <c r="E457" s="5">
        <v>0</v>
      </c>
      <c r="F457" s="5">
        <v>0</v>
      </c>
      <c r="G457" s="3">
        <v>4</v>
      </c>
      <c r="H457" s="3"/>
      <c r="I457" s="3">
        <v>2</v>
      </c>
      <c r="J457" s="6">
        <v>4.6773512237545036</v>
      </c>
      <c r="K457" s="6" t="s">
        <v>986</v>
      </c>
      <c r="L457" s="6">
        <v>1.7868906924865919</v>
      </c>
    </row>
    <row r="458" spans="1:12" x14ac:dyDescent="0.25">
      <c r="A458" s="2" t="s">
        <v>1699</v>
      </c>
      <c r="B458" s="2" t="s">
        <v>1362</v>
      </c>
      <c r="C458" s="4">
        <v>47.5</v>
      </c>
      <c r="D458" s="5">
        <v>0</v>
      </c>
      <c r="E458" s="5">
        <v>0</v>
      </c>
      <c r="F458" s="5">
        <v>970089.625</v>
      </c>
      <c r="G458" s="3"/>
      <c r="H458" s="3"/>
      <c r="I458" s="3">
        <v>8</v>
      </c>
      <c r="J458" s="6" t="s">
        <v>986</v>
      </c>
      <c r="K458" s="6" t="s">
        <v>986</v>
      </c>
      <c r="L458" s="6">
        <v>7.1475627699463677</v>
      </c>
    </row>
    <row r="459" spans="1:12" x14ac:dyDescent="0.25">
      <c r="A459" s="2" t="s">
        <v>1700</v>
      </c>
      <c r="B459" s="2" t="s">
        <v>1701</v>
      </c>
      <c r="C459" s="4">
        <v>18.7</v>
      </c>
      <c r="D459" s="5">
        <v>0</v>
      </c>
      <c r="E459" s="5">
        <v>0</v>
      </c>
      <c r="F459" s="5">
        <v>728627.03125</v>
      </c>
      <c r="G459" s="3"/>
      <c r="H459" s="3"/>
      <c r="I459" s="3">
        <v>2</v>
      </c>
      <c r="J459" s="6" t="s">
        <v>986</v>
      </c>
      <c r="K459" s="6" t="s">
        <v>986</v>
      </c>
      <c r="L459" s="6">
        <v>1.7868906924865919</v>
      </c>
    </row>
    <row r="460" spans="1:12" x14ac:dyDescent="0.25">
      <c r="A460" s="2" t="s">
        <v>1702</v>
      </c>
      <c r="B460" s="2" t="s">
        <v>1025</v>
      </c>
      <c r="C460" s="4">
        <v>24.7</v>
      </c>
      <c r="D460" s="5">
        <v>0</v>
      </c>
      <c r="E460" s="5">
        <v>0</v>
      </c>
      <c r="F460" s="5">
        <v>910658.5625</v>
      </c>
      <c r="G460" s="3"/>
      <c r="H460" s="3"/>
      <c r="I460" s="3">
        <v>3</v>
      </c>
      <c r="J460" s="6" t="s">
        <v>986</v>
      </c>
      <c r="K460" s="6" t="s">
        <v>986</v>
      </c>
      <c r="L460" s="6">
        <v>2.6803360387298878</v>
      </c>
    </row>
    <row r="461" spans="1:12" x14ac:dyDescent="0.25">
      <c r="A461" s="2" t="s">
        <v>1703</v>
      </c>
      <c r="B461" s="2" t="s">
        <v>1233</v>
      </c>
      <c r="C461" s="4">
        <v>28</v>
      </c>
      <c r="D461" s="5">
        <v>0</v>
      </c>
      <c r="E461" s="5">
        <v>0</v>
      </c>
      <c r="F461" s="5">
        <v>29684210.25</v>
      </c>
      <c r="G461" s="3"/>
      <c r="H461" s="3"/>
      <c r="I461" s="3">
        <v>16</v>
      </c>
      <c r="J461" s="6" t="s">
        <v>986</v>
      </c>
      <c r="K461" s="6" t="s">
        <v>986</v>
      </c>
      <c r="L461" s="6">
        <v>14.295125539892735</v>
      </c>
    </row>
    <row r="462" spans="1:12" x14ac:dyDescent="0.25">
      <c r="A462" s="2" t="s">
        <v>1704</v>
      </c>
      <c r="B462" s="2" t="s">
        <v>1705</v>
      </c>
      <c r="C462" s="4">
        <v>44.9</v>
      </c>
      <c r="D462" s="5">
        <v>0</v>
      </c>
      <c r="E462" s="5">
        <v>0</v>
      </c>
      <c r="F462" s="5">
        <v>1215218.734375</v>
      </c>
      <c r="G462" s="3"/>
      <c r="H462" s="3"/>
      <c r="I462" s="3">
        <v>4</v>
      </c>
      <c r="J462" s="6" t="s">
        <v>986</v>
      </c>
      <c r="K462" s="6" t="s">
        <v>986</v>
      </c>
      <c r="L462" s="6">
        <v>3.5737813849731839</v>
      </c>
    </row>
    <row r="463" spans="1:12" x14ac:dyDescent="0.25">
      <c r="A463" s="2" t="s">
        <v>1706</v>
      </c>
      <c r="B463" s="2" t="s">
        <v>1025</v>
      </c>
      <c r="C463" s="4">
        <v>23.2</v>
      </c>
      <c r="D463" s="5">
        <v>0</v>
      </c>
      <c r="E463" s="5">
        <v>0</v>
      </c>
      <c r="F463" s="5">
        <v>781006.78125</v>
      </c>
      <c r="G463" s="3"/>
      <c r="H463" s="3"/>
      <c r="I463" s="3">
        <v>2</v>
      </c>
      <c r="J463" s="6" t="s">
        <v>986</v>
      </c>
      <c r="K463" s="6" t="s">
        <v>986</v>
      </c>
      <c r="L463" s="6">
        <v>1.7868906924865919</v>
      </c>
    </row>
    <row r="464" spans="1:12" x14ac:dyDescent="0.25">
      <c r="A464" s="2" t="s">
        <v>1707</v>
      </c>
      <c r="B464" s="2" t="s">
        <v>1708</v>
      </c>
      <c r="C464" s="4">
        <v>17.3</v>
      </c>
      <c r="D464" s="5">
        <v>0</v>
      </c>
      <c r="E464" s="5">
        <v>0</v>
      </c>
      <c r="F464" s="5">
        <v>1958752.953125</v>
      </c>
      <c r="G464" s="3"/>
      <c r="H464" s="3"/>
      <c r="I464" s="3">
        <v>5</v>
      </c>
      <c r="J464" s="6" t="s">
        <v>986</v>
      </c>
      <c r="K464" s="6" t="s">
        <v>986</v>
      </c>
      <c r="L464" s="6">
        <v>4.4672267312164795</v>
      </c>
    </row>
    <row r="465" spans="1:12" x14ac:dyDescent="0.25">
      <c r="A465" s="2" t="s">
        <v>1709</v>
      </c>
      <c r="B465" s="2" t="s">
        <v>1710</v>
      </c>
      <c r="C465" s="4">
        <v>54.6</v>
      </c>
      <c r="D465" s="5">
        <v>1008021.6875</v>
      </c>
      <c r="E465" s="5">
        <v>0</v>
      </c>
      <c r="F465" s="5">
        <v>981112.34375</v>
      </c>
      <c r="G465" s="3">
        <v>3</v>
      </c>
      <c r="H465" s="3"/>
      <c r="I465" s="3">
        <v>2</v>
      </c>
      <c r="J465" s="6">
        <v>3.5080134178158779</v>
      </c>
      <c r="K465" s="6" t="s">
        <v>986</v>
      </c>
      <c r="L465" s="6">
        <v>1.7868906924865919</v>
      </c>
    </row>
    <row r="466" spans="1:12" x14ac:dyDescent="0.25">
      <c r="A466" s="2" t="s">
        <v>1711</v>
      </c>
      <c r="B466" s="2" t="s">
        <v>1067</v>
      </c>
      <c r="C466" s="4">
        <v>16.3</v>
      </c>
      <c r="D466" s="5">
        <v>0</v>
      </c>
      <c r="E466" s="5">
        <v>0</v>
      </c>
      <c r="F466" s="5">
        <v>1752255.1875</v>
      </c>
      <c r="G466" s="3"/>
      <c r="H466" s="3"/>
      <c r="I466" s="3">
        <v>6</v>
      </c>
      <c r="J466" s="6" t="s">
        <v>986</v>
      </c>
      <c r="K466" s="6" t="s">
        <v>986</v>
      </c>
      <c r="L466" s="6">
        <v>5.3606720774597756</v>
      </c>
    </row>
    <row r="467" spans="1:12" x14ac:dyDescent="0.25">
      <c r="A467" s="2" t="s">
        <v>1712</v>
      </c>
      <c r="B467" s="2" t="s">
        <v>1335</v>
      </c>
      <c r="C467" s="4">
        <v>68.5</v>
      </c>
      <c r="D467" s="5">
        <v>326597.3203125</v>
      </c>
      <c r="E467" s="5">
        <v>0</v>
      </c>
      <c r="F467" s="5">
        <v>2366420.1875</v>
      </c>
      <c r="G467" s="3">
        <v>2</v>
      </c>
      <c r="H467" s="3"/>
      <c r="I467" s="3">
        <v>2</v>
      </c>
      <c r="J467" s="6">
        <v>2.3386756118772518</v>
      </c>
      <c r="K467" s="6" t="s">
        <v>986</v>
      </c>
      <c r="L467" s="6">
        <v>1.7868906924865919</v>
      </c>
    </row>
    <row r="468" spans="1:12" x14ac:dyDescent="0.25">
      <c r="A468" s="2" t="s">
        <v>1713</v>
      </c>
      <c r="B468" s="2" t="s">
        <v>1052</v>
      </c>
      <c r="C468" s="4">
        <v>23.6</v>
      </c>
      <c r="D468" s="5">
        <v>0</v>
      </c>
      <c r="E468" s="5">
        <v>0</v>
      </c>
      <c r="F468" s="5">
        <v>489780.375</v>
      </c>
      <c r="G468" s="3"/>
      <c r="H468" s="3"/>
      <c r="I468" s="3">
        <v>15</v>
      </c>
      <c r="J468" s="6" t="s">
        <v>986</v>
      </c>
      <c r="K468" s="6" t="s">
        <v>986</v>
      </c>
      <c r="L468" s="6">
        <v>13.40168019364944</v>
      </c>
    </row>
    <row r="469" spans="1:12" x14ac:dyDescent="0.25">
      <c r="A469" s="2" t="s">
        <v>1714</v>
      </c>
      <c r="B469" s="2" t="s">
        <v>1715</v>
      </c>
      <c r="C469" s="4">
        <v>16</v>
      </c>
      <c r="D469" s="5">
        <v>0</v>
      </c>
      <c r="E469" s="5">
        <v>0</v>
      </c>
      <c r="F469" s="5">
        <v>1067916.625</v>
      </c>
      <c r="G469" s="3"/>
      <c r="H469" s="3"/>
      <c r="I469" s="3">
        <v>5</v>
      </c>
      <c r="J469" s="6" t="s">
        <v>986</v>
      </c>
      <c r="K469" s="6" t="s">
        <v>986</v>
      </c>
      <c r="L469" s="6">
        <v>4.4672267312164795</v>
      </c>
    </row>
    <row r="470" spans="1:12" x14ac:dyDescent="0.25">
      <c r="A470" s="2" t="s">
        <v>1716</v>
      </c>
      <c r="B470" s="2" t="s">
        <v>1272</v>
      </c>
      <c r="C470" s="4">
        <v>33.5</v>
      </c>
      <c r="D470" s="5">
        <v>1291612.875</v>
      </c>
      <c r="E470" s="5">
        <v>0</v>
      </c>
      <c r="F470" s="5">
        <v>527493.859375</v>
      </c>
      <c r="G470" s="3">
        <v>13</v>
      </c>
      <c r="H470" s="3"/>
      <c r="I470" s="3">
        <v>16</v>
      </c>
      <c r="J470" s="6">
        <v>15.201391477202138</v>
      </c>
      <c r="K470" s="6" t="s">
        <v>986</v>
      </c>
      <c r="L470" s="6">
        <v>14.295125539892735</v>
      </c>
    </row>
    <row r="471" spans="1:12" x14ac:dyDescent="0.25">
      <c r="A471" s="2" t="s">
        <v>1717</v>
      </c>
      <c r="B471" s="2" t="s">
        <v>1718</v>
      </c>
      <c r="C471" s="4">
        <v>34</v>
      </c>
      <c r="D471" s="5">
        <v>0</v>
      </c>
      <c r="E471" s="5">
        <v>0</v>
      </c>
      <c r="F471" s="5">
        <v>1107933.46875</v>
      </c>
      <c r="G471" s="3"/>
      <c r="H471" s="3"/>
      <c r="I471" s="3">
        <v>3</v>
      </c>
      <c r="J471" s="6" t="s">
        <v>986</v>
      </c>
      <c r="K471" s="6" t="s">
        <v>986</v>
      </c>
      <c r="L471" s="6">
        <v>2.6803360387298878</v>
      </c>
    </row>
    <row r="472" spans="1:12" x14ac:dyDescent="0.25">
      <c r="A472" s="2" t="s">
        <v>1719</v>
      </c>
      <c r="B472" s="2" t="s">
        <v>1117</v>
      </c>
      <c r="C472" s="4">
        <v>13.8</v>
      </c>
      <c r="D472" s="5">
        <v>0</v>
      </c>
      <c r="E472" s="5">
        <v>0</v>
      </c>
      <c r="F472" s="5">
        <v>10047873.125</v>
      </c>
      <c r="G472" s="3"/>
      <c r="H472" s="3"/>
      <c r="I472" s="3">
        <v>6</v>
      </c>
      <c r="J472" s="6" t="s">
        <v>986</v>
      </c>
      <c r="K472" s="6" t="s">
        <v>986</v>
      </c>
      <c r="L472" s="6">
        <v>5.3606720774597756</v>
      </c>
    </row>
    <row r="473" spans="1:12" x14ac:dyDescent="0.25">
      <c r="A473" s="2" t="s">
        <v>1720</v>
      </c>
      <c r="B473" s="2" t="s">
        <v>1237</v>
      </c>
      <c r="C473" s="4">
        <v>68.599999999999994</v>
      </c>
      <c r="D473" s="5">
        <v>0</v>
      </c>
      <c r="E473" s="5">
        <v>0</v>
      </c>
      <c r="F473" s="5">
        <v>4140007.125</v>
      </c>
      <c r="G473" s="3"/>
      <c r="H473" s="3"/>
      <c r="I473" s="3">
        <v>36</v>
      </c>
      <c r="J473" s="6" t="s">
        <v>986</v>
      </c>
      <c r="K473" s="6" t="s">
        <v>986</v>
      </c>
      <c r="L473" s="6">
        <v>32.164032464758655</v>
      </c>
    </row>
    <row r="474" spans="1:12" x14ac:dyDescent="0.25">
      <c r="A474" s="2" t="s">
        <v>1721</v>
      </c>
      <c r="B474" s="2" t="s">
        <v>1025</v>
      </c>
      <c r="C474" s="4">
        <v>17.3</v>
      </c>
      <c r="D474" s="5">
        <v>0</v>
      </c>
      <c r="E474" s="5">
        <v>0</v>
      </c>
      <c r="F474" s="5">
        <v>1695209.375</v>
      </c>
      <c r="G474" s="3"/>
      <c r="H474" s="3"/>
      <c r="I474" s="3">
        <v>3</v>
      </c>
      <c r="J474" s="6" t="s">
        <v>986</v>
      </c>
      <c r="K474" s="6" t="s">
        <v>986</v>
      </c>
      <c r="L474" s="6">
        <v>2.6803360387298878</v>
      </c>
    </row>
    <row r="475" spans="1:12" x14ac:dyDescent="0.25">
      <c r="A475" s="2" t="s">
        <v>1722</v>
      </c>
      <c r="B475" s="2" t="s">
        <v>1723</v>
      </c>
      <c r="C475" s="4">
        <v>36.700000000000003</v>
      </c>
      <c r="D475" s="5">
        <v>0</v>
      </c>
      <c r="E475" s="5">
        <v>0</v>
      </c>
      <c r="F475" s="5">
        <v>683942.1875</v>
      </c>
      <c r="G475" s="3"/>
      <c r="H475" s="3"/>
      <c r="I475" s="3">
        <v>3</v>
      </c>
      <c r="J475" s="6" t="s">
        <v>986</v>
      </c>
      <c r="K475" s="6" t="s">
        <v>986</v>
      </c>
      <c r="L475" s="6">
        <v>2.6803360387298878</v>
      </c>
    </row>
    <row r="476" spans="1:12" x14ac:dyDescent="0.25">
      <c r="A476" s="2" t="s">
        <v>1724</v>
      </c>
      <c r="B476" s="2" t="s">
        <v>1025</v>
      </c>
      <c r="C476" s="4">
        <v>28.9</v>
      </c>
      <c r="D476" s="5">
        <v>0</v>
      </c>
      <c r="E476" s="5">
        <v>0</v>
      </c>
      <c r="F476" s="5">
        <v>839411.96875</v>
      </c>
      <c r="G476" s="3"/>
      <c r="H476" s="3"/>
      <c r="I476" s="3">
        <v>2</v>
      </c>
      <c r="J476" s="6" t="s">
        <v>986</v>
      </c>
      <c r="K476" s="6" t="s">
        <v>986</v>
      </c>
      <c r="L476" s="6">
        <v>1.7868906924865919</v>
      </c>
    </row>
    <row r="477" spans="1:12" x14ac:dyDescent="0.25">
      <c r="A477" s="2" t="s">
        <v>1725</v>
      </c>
      <c r="B477" s="2" t="s">
        <v>1726</v>
      </c>
      <c r="C477" s="4">
        <v>17.7</v>
      </c>
      <c r="D477" s="5">
        <v>0</v>
      </c>
      <c r="E477" s="5">
        <v>0</v>
      </c>
      <c r="F477" s="5">
        <v>387425.65625</v>
      </c>
      <c r="G477" s="3"/>
      <c r="H477" s="3"/>
      <c r="I477" s="3">
        <v>2</v>
      </c>
      <c r="J477" s="6" t="s">
        <v>986</v>
      </c>
      <c r="K477" s="6" t="s">
        <v>986</v>
      </c>
      <c r="L477" s="6">
        <v>1.7868906924865919</v>
      </c>
    </row>
    <row r="478" spans="1:12" x14ac:dyDescent="0.25">
      <c r="A478" s="2" t="s">
        <v>1727</v>
      </c>
      <c r="B478" s="2" t="s">
        <v>1086</v>
      </c>
      <c r="C478" s="4">
        <v>38.4</v>
      </c>
      <c r="D478" s="5">
        <v>0</v>
      </c>
      <c r="E478" s="5">
        <v>0</v>
      </c>
      <c r="F478" s="5">
        <v>5320573.6875</v>
      </c>
      <c r="G478" s="3"/>
      <c r="H478" s="3"/>
      <c r="I478" s="3">
        <v>9</v>
      </c>
      <c r="J478" s="6" t="s">
        <v>986</v>
      </c>
      <c r="K478" s="6" t="s">
        <v>986</v>
      </c>
      <c r="L478" s="6">
        <v>8.0410081161896638</v>
      </c>
    </row>
    <row r="479" spans="1:12" x14ac:dyDescent="0.25">
      <c r="A479" s="2" t="s">
        <v>1728</v>
      </c>
      <c r="B479" s="2" t="s">
        <v>1112</v>
      </c>
      <c r="C479" s="4">
        <v>46.5</v>
      </c>
      <c r="D479" s="5">
        <v>1780283.625</v>
      </c>
      <c r="E479" s="5">
        <v>0</v>
      </c>
      <c r="F479" s="5">
        <v>1889864.625</v>
      </c>
      <c r="G479" s="3">
        <v>7</v>
      </c>
      <c r="H479" s="3"/>
      <c r="I479" s="3">
        <v>7</v>
      </c>
      <c r="J479" s="6">
        <v>8.1853646415703807</v>
      </c>
      <c r="K479" s="6" t="s">
        <v>986</v>
      </c>
      <c r="L479" s="6">
        <v>6.2541174237030717</v>
      </c>
    </row>
    <row r="480" spans="1:12" x14ac:dyDescent="0.25">
      <c r="A480" s="2" t="s">
        <v>1729</v>
      </c>
      <c r="B480" s="2" t="s">
        <v>1730</v>
      </c>
      <c r="C480" s="4">
        <v>67.7</v>
      </c>
      <c r="D480" s="5">
        <v>0</v>
      </c>
      <c r="E480" s="5">
        <v>0</v>
      </c>
      <c r="F480" s="5">
        <v>634983.875</v>
      </c>
      <c r="G480" s="3"/>
      <c r="H480" s="3"/>
      <c r="I480" s="3">
        <v>2</v>
      </c>
      <c r="J480" s="6" t="s">
        <v>986</v>
      </c>
      <c r="K480" s="6" t="s">
        <v>986</v>
      </c>
      <c r="L480" s="6">
        <v>1.7868906924865919</v>
      </c>
    </row>
    <row r="481" spans="1:12" x14ac:dyDescent="0.25">
      <c r="A481" s="2" t="s">
        <v>1731</v>
      </c>
      <c r="B481" s="2" t="s">
        <v>1624</v>
      </c>
      <c r="C481" s="4">
        <v>62.9</v>
      </c>
      <c r="D481" s="5">
        <v>0</v>
      </c>
      <c r="E481" s="5">
        <v>0</v>
      </c>
      <c r="F481" s="5">
        <v>1049986.1875</v>
      </c>
      <c r="G481" s="3"/>
      <c r="H481" s="3"/>
      <c r="I481" s="3">
        <v>2</v>
      </c>
      <c r="J481" s="6" t="s">
        <v>986</v>
      </c>
      <c r="K481" s="6" t="s">
        <v>986</v>
      </c>
      <c r="L481" s="6">
        <v>1.7868906924865919</v>
      </c>
    </row>
    <row r="482" spans="1:12" x14ac:dyDescent="0.25">
      <c r="A482" s="2" t="s">
        <v>1732</v>
      </c>
      <c r="B482" s="2" t="s">
        <v>1733</v>
      </c>
      <c r="C482" s="4">
        <v>26.9</v>
      </c>
      <c r="D482" s="5">
        <v>0</v>
      </c>
      <c r="E482" s="5">
        <v>0</v>
      </c>
      <c r="F482" s="5">
        <v>784243.8125</v>
      </c>
      <c r="G482" s="3"/>
      <c r="H482" s="3"/>
      <c r="I482" s="3">
        <v>3</v>
      </c>
      <c r="J482" s="6" t="s">
        <v>986</v>
      </c>
      <c r="K482" s="6" t="s">
        <v>986</v>
      </c>
      <c r="L482" s="6">
        <v>2.6803360387298878</v>
      </c>
    </row>
    <row r="483" spans="1:12" x14ac:dyDescent="0.25">
      <c r="A483" s="2" t="s">
        <v>1734</v>
      </c>
      <c r="B483" s="2" t="s">
        <v>1735</v>
      </c>
      <c r="C483" s="4">
        <v>51.1</v>
      </c>
      <c r="D483" s="5">
        <v>0</v>
      </c>
      <c r="E483" s="5">
        <v>0</v>
      </c>
      <c r="F483" s="5">
        <v>715028.875</v>
      </c>
      <c r="G483" s="3"/>
      <c r="H483" s="3"/>
      <c r="I483" s="3">
        <v>5</v>
      </c>
      <c r="J483" s="6" t="s">
        <v>986</v>
      </c>
      <c r="K483" s="6" t="s">
        <v>986</v>
      </c>
      <c r="L483" s="6">
        <v>4.4672267312164795</v>
      </c>
    </row>
    <row r="484" spans="1:12" x14ac:dyDescent="0.25">
      <c r="A484" s="2" t="s">
        <v>1736</v>
      </c>
      <c r="B484" s="2" t="s">
        <v>1335</v>
      </c>
      <c r="C484" s="4">
        <v>117</v>
      </c>
      <c r="D484" s="5">
        <v>1125150.96875</v>
      </c>
      <c r="E484" s="5">
        <v>0</v>
      </c>
      <c r="F484" s="5">
        <v>2799870.3671875</v>
      </c>
      <c r="G484" s="3">
        <v>8</v>
      </c>
      <c r="H484" s="3"/>
      <c r="I484" s="3">
        <v>10</v>
      </c>
      <c r="J484" s="6">
        <v>9.3547024475090073</v>
      </c>
      <c r="K484" s="6" t="s">
        <v>986</v>
      </c>
      <c r="L484" s="6">
        <v>8.934453462432959</v>
      </c>
    </row>
    <row r="485" spans="1:12" x14ac:dyDescent="0.25">
      <c r="A485" s="2" t="s">
        <v>1737</v>
      </c>
      <c r="B485" s="2" t="s">
        <v>1025</v>
      </c>
      <c r="C485" s="4">
        <v>173.4</v>
      </c>
      <c r="D485" s="5">
        <v>0</v>
      </c>
      <c r="E485" s="5">
        <v>0</v>
      </c>
      <c r="F485" s="5">
        <v>596596.484375</v>
      </c>
      <c r="G485" s="3"/>
      <c r="H485" s="3"/>
      <c r="I485" s="3">
        <v>2</v>
      </c>
      <c r="J485" s="6" t="s">
        <v>986</v>
      </c>
      <c r="K485" s="6" t="s">
        <v>986</v>
      </c>
      <c r="L485" s="6">
        <v>1.7868906924865919</v>
      </c>
    </row>
    <row r="486" spans="1:12" x14ac:dyDescent="0.25">
      <c r="A486" s="2" t="s">
        <v>1738</v>
      </c>
      <c r="B486" s="2" t="s">
        <v>1739</v>
      </c>
      <c r="C486" s="4">
        <v>118.5</v>
      </c>
      <c r="D486" s="5">
        <v>0</v>
      </c>
      <c r="E486" s="5">
        <v>0</v>
      </c>
      <c r="F486" s="5">
        <v>845192.578125</v>
      </c>
      <c r="G486" s="3"/>
      <c r="H486" s="3"/>
      <c r="I486" s="3">
        <v>3</v>
      </c>
      <c r="J486" s="6" t="s">
        <v>986</v>
      </c>
      <c r="K486" s="6" t="s">
        <v>986</v>
      </c>
      <c r="L486" s="6">
        <v>2.6803360387298878</v>
      </c>
    </row>
    <row r="487" spans="1:12" x14ac:dyDescent="0.25">
      <c r="A487" s="2" t="s">
        <v>1740</v>
      </c>
      <c r="B487" s="2" t="s">
        <v>1153</v>
      </c>
      <c r="C487" s="4">
        <v>53.2</v>
      </c>
      <c r="D487" s="5">
        <v>0</v>
      </c>
      <c r="E487" s="5">
        <v>0</v>
      </c>
      <c r="F487" s="5">
        <v>1336011.90625</v>
      </c>
      <c r="G487" s="3"/>
      <c r="H487" s="3"/>
      <c r="I487" s="3">
        <v>18</v>
      </c>
      <c r="J487" s="6" t="s">
        <v>986</v>
      </c>
      <c r="K487" s="6" t="s">
        <v>986</v>
      </c>
      <c r="L487" s="6">
        <v>16.082016232379328</v>
      </c>
    </row>
    <row r="488" spans="1:12" x14ac:dyDescent="0.25">
      <c r="A488" s="2" t="s">
        <v>1741</v>
      </c>
      <c r="B488" s="2" t="s">
        <v>1096</v>
      </c>
      <c r="C488" s="4">
        <v>79.2</v>
      </c>
      <c r="D488" s="5">
        <v>751046.4375</v>
      </c>
      <c r="E488" s="5">
        <v>0</v>
      </c>
      <c r="F488" s="5">
        <v>1309809.625</v>
      </c>
      <c r="G488" s="3">
        <v>13</v>
      </c>
      <c r="H488" s="3"/>
      <c r="I488" s="3">
        <v>15</v>
      </c>
      <c r="J488" s="6">
        <v>15.201391477202138</v>
      </c>
      <c r="K488" s="6" t="s">
        <v>986</v>
      </c>
      <c r="L488" s="6">
        <v>13.40168019364944</v>
      </c>
    </row>
    <row r="489" spans="1:12" x14ac:dyDescent="0.25">
      <c r="A489" s="2" t="s">
        <v>1742</v>
      </c>
      <c r="B489" s="2" t="s">
        <v>1025</v>
      </c>
      <c r="C489" s="4">
        <v>61.7</v>
      </c>
      <c r="D489" s="5">
        <v>579018.0078125</v>
      </c>
      <c r="E489" s="5">
        <v>0</v>
      </c>
      <c r="F489" s="5">
        <v>1114204.53125</v>
      </c>
      <c r="G489" s="3">
        <v>10</v>
      </c>
      <c r="H489" s="3"/>
      <c r="I489" s="3">
        <v>3</v>
      </c>
      <c r="J489" s="6">
        <v>11.693378059386259</v>
      </c>
      <c r="K489" s="6" t="s">
        <v>986</v>
      </c>
      <c r="L489" s="6">
        <v>2.6803360387298878</v>
      </c>
    </row>
    <row r="490" spans="1:12" x14ac:dyDescent="0.25">
      <c r="A490" s="2" t="s">
        <v>1743</v>
      </c>
      <c r="B490" s="2" t="s">
        <v>1744</v>
      </c>
      <c r="C490" s="4">
        <v>75.3</v>
      </c>
      <c r="D490" s="5">
        <v>0</v>
      </c>
      <c r="E490" s="5">
        <v>0</v>
      </c>
      <c r="F490" s="5">
        <v>533591.75</v>
      </c>
      <c r="G490" s="3"/>
      <c r="H490" s="3"/>
      <c r="I490" s="3">
        <v>4</v>
      </c>
      <c r="J490" s="6" t="s">
        <v>986</v>
      </c>
      <c r="K490" s="6" t="s">
        <v>986</v>
      </c>
      <c r="L490" s="6">
        <v>3.5737813849731839</v>
      </c>
    </row>
    <row r="491" spans="1:12" x14ac:dyDescent="0.25">
      <c r="A491" s="2" t="s">
        <v>1745</v>
      </c>
      <c r="B491" s="2" t="s">
        <v>1102</v>
      </c>
      <c r="C491" s="4">
        <v>63.4</v>
      </c>
      <c r="D491" s="5">
        <v>0</v>
      </c>
      <c r="E491" s="5">
        <v>0</v>
      </c>
      <c r="F491" s="5">
        <v>904076.75</v>
      </c>
      <c r="G491" s="3"/>
      <c r="H491" s="3"/>
      <c r="I491" s="3">
        <v>2</v>
      </c>
      <c r="J491" s="6" t="s">
        <v>986</v>
      </c>
      <c r="K491" s="6" t="s">
        <v>986</v>
      </c>
      <c r="L491" s="6">
        <v>1.7868906924865919</v>
      </c>
    </row>
    <row r="492" spans="1:12" x14ac:dyDescent="0.25">
      <c r="A492" s="2" t="s">
        <v>1746</v>
      </c>
      <c r="B492" s="2" t="s">
        <v>1747</v>
      </c>
      <c r="C492" s="4">
        <v>61.8</v>
      </c>
      <c r="D492" s="5">
        <v>1150109.296875</v>
      </c>
      <c r="E492" s="5">
        <v>0</v>
      </c>
      <c r="F492" s="5">
        <v>538720.140625</v>
      </c>
      <c r="G492" s="3">
        <v>5</v>
      </c>
      <c r="H492" s="3"/>
      <c r="I492" s="3">
        <v>2</v>
      </c>
      <c r="J492" s="6">
        <v>5.8466890296931293</v>
      </c>
      <c r="K492" s="6" t="s">
        <v>986</v>
      </c>
      <c r="L492" s="6">
        <v>1.7868906924865919</v>
      </c>
    </row>
    <row r="493" spans="1:12" x14ac:dyDescent="0.25">
      <c r="A493" s="2" t="s">
        <v>1748</v>
      </c>
      <c r="B493" s="2" t="s">
        <v>1253</v>
      </c>
      <c r="C493" s="4">
        <v>31.6</v>
      </c>
      <c r="D493" s="5">
        <v>0</v>
      </c>
      <c r="E493" s="5">
        <v>0</v>
      </c>
      <c r="F493" s="5">
        <v>253809.078125</v>
      </c>
      <c r="G493" s="3"/>
      <c r="H493" s="3"/>
      <c r="I493" s="3">
        <v>5</v>
      </c>
      <c r="J493" s="6" t="s">
        <v>986</v>
      </c>
      <c r="K493" s="6" t="s">
        <v>986</v>
      </c>
      <c r="L493" s="6">
        <v>4.4672267312164795</v>
      </c>
    </row>
    <row r="494" spans="1:12" x14ac:dyDescent="0.25">
      <c r="A494" s="2" t="s">
        <v>1749</v>
      </c>
      <c r="B494" s="2" t="s">
        <v>1025</v>
      </c>
      <c r="C494" s="4">
        <v>75.5</v>
      </c>
      <c r="D494" s="5">
        <v>0</v>
      </c>
      <c r="E494" s="5">
        <v>0</v>
      </c>
      <c r="F494" s="5">
        <v>781987.5</v>
      </c>
      <c r="G494" s="3"/>
      <c r="H494" s="3"/>
      <c r="I494" s="3">
        <v>28</v>
      </c>
      <c r="J494" s="6" t="s">
        <v>986</v>
      </c>
      <c r="K494" s="6" t="s">
        <v>986</v>
      </c>
      <c r="L494" s="6">
        <v>25.016469694812287</v>
      </c>
    </row>
    <row r="495" spans="1:12" x14ac:dyDescent="0.25">
      <c r="A495" s="2" t="s">
        <v>1750</v>
      </c>
      <c r="B495" s="2" t="s">
        <v>1048</v>
      </c>
      <c r="C495" s="4">
        <v>28.6</v>
      </c>
      <c r="D495" s="5">
        <v>0</v>
      </c>
      <c r="E495" s="5">
        <v>0</v>
      </c>
      <c r="F495" s="5">
        <v>148862</v>
      </c>
      <c r="G495" s="3"/>
      <c r="H495" s="3"/>
      <c r="I495" s="3">
        <v>9</v>
      </c>
      <c r="J495" s="6" t="s">
        <v>986</v>
      </c>
      <c r="K495" s="6" t="s">
        <v>986</v>
      </c>
      <c r="L495" s="6">
        <v>8.0410081161896638</v>
      </c>
    </row>
    <row r="496" spans="1:12" x14ac:dyDescent="0.25">
      <c r="A496" s="2" t="s">
        <v>1751</v>
      </c>
      <c r="B496" s="2" t="s">
        <v>1104</v>
      </c>
      <c r="C496" s="4">
        <v>54.1</v>
      </c>
      <c r="D496" s="5">
        <v>637302.265625</v>
      </c>
      <c r="E496" s="5">
        <v>0</v>
      </c>
      <c r="F496" s="5">
        <v>623982.5625</v>
      </c>
      <c r="G496" s="3">
        <v>4</v>
      </c>
      <c r="H496" s="3"/>
      <c r="I496" s="3">
        <v>3</v>
      </c>
      <c r="J496" s="6">
        <v>4.6773512237545036</v>
      </c>
      <c r="K496" s="6" t="s">
        <v>986</v>
      </c>
      <c r="L496" s="6">
        <v>2.6803360387298878</v>
      </c>
    </row>
    <row r="497" spans="1:12" x14ac:dyDescent="0.25">
      <c r="A497" s="2" t="s">
        <v>1752</v>
      </c>
      <c r="B497" s="2" t="s">
        <v>1541</v>
      </c>
      <c r="C497" s="4">
        <v>16.600000000000001</v>
      </c>
      <c r="D497" s="5">
        <v>0</v>
      </c>
      <c r="E497" s="5">
        <v>0</v>
      </c>
      <c r="F497" s="5">
        <v>196178.34375</v>
      </c>
      <c r="G497" s="3"/>
      <c r="H497" s="3"/>
      <c r="I497" s="3">
        <v>7</v>
      </c>
      <c r="J497" s="6" t="s">
        <v>986</v>
      </c>
      <c r="K497" s="6" t="s">
        <v>986</v>
      </c>
      <c r="L497" s="6">
        <v>6.2541174237030717</v>
      </c>
    </row>
    <row r="498" spans="1:12" x14ac:dyDescent="0.25">
      <c r="A498" s="2" t="s">
        <v>1753</v>
      </c>
      <c r="B498" s="2" t="s">
        <v>1754</v>
      </c>
      <c r="C498" s="4">
        <v>30</v>
      </c>
      <c r="D498" s="5">
        <v>0</v>
      </c>
      <c r="E498" s="5">
        <v>0</v>
      </c>
      <c r="F498" s="5">
        <v>2244223.875</v>
      </c>
      <c r="G498" s="3"/>
      <c r="H498" s="3"/>
      <c r="I498" s="3">
        <v>2</v>
      </c>
      <c r="J498" s="6" t="s">
        <v>986</v>
      </c>
      <c r="K498" s="6" t="s">
        <v>986</v>
      </c>
      <c r="L498" s="6">
        <v>1.7868906924865919</v>
      </c>
    </row>
    <row r="499" spans="1:12" x14ac:dyDescent="0.25">
      <c r="A499" s="2" t="s">
        <v>1755</v>
      </c>
      <c r="B499" s="2" t="s">
        <v>1429</v>
      </c>
      <c r="C499" s="4">
        <v>27.3</v>
      </c>
      <c r="D499" s="5">
        <v>0</v>
      </c>
      <c r="E499" s="5">
        <v>0</v>
      </c>
      <c r="F499" s="5">
        <v>10902727.125</v>
      </c>
      <c r="G499" s="3"/>
      <c r="H499" s="3"/>
      <c r="I499" s="3">
        <v>14</v>
      </c>
      <c r="J499" s="6" t="s">
        <v>986</v>
      </c>
      <c r="K499" s="6" t="s">
        <v>986</v>
      </c>
      <c r="L499" s="6">
        <v>12.508234847406143</v>
      </c>
    </row>
    <row r="500" spans="1:12" x14ac:dyDescent="0.25">
      <c r="A500" s="2" t="s">
        <v>1756</v>
      </c>
      <c r="B500" s="2" t="s">
        <v>1757</v>
      </c>
      <c r="C500" s="4">
        <v>40</v>
      </c>
      <c r="D500" s="5">
        <v>704451.28125</v>
      </c>
      <c r="E500" s="5">
        <v>0</v>
      </c>
      <c r="F500" s="5">
        <v>1592700.90625</v>
      </c>
      <c r="G500" s="3">
        <v>4</v>
      </c>
      <c r="H500" s="3"/>
      <c r="I500" s="3">
        <v>4</v>
      </c>
      <c r="J500" s="6">
        <v>4.6773512237545036</v>
      </c>
      <c r="K500" s="6" t="s">
        <v>986</v>
      </c>
      <c r="L500" s="6">
        <v>3.5737813849731839</v>
      </c>
    </row>
    <row r="501" spans="1:12" x14ac:dyDescent="0.25">
      <c r="A501" s="2" t="s">
        <v>1758</v>
      </c>
      <c r="B501" s="2" t="s">
        <v>1759</v>
      </c>
      <c r="C501" s="4">
        <v>41.7</v>
      </c>
      <c r="D501" s="5">
        <v>0</v>
      </c>
      <c r="E501" s="5">
        <v>0</v>
      </c>
      <c r="F501" s="5">
        <v>3330698.6875</v>
      </c>
      <c r="G501" s="3"/>
      <c r="H501" s="3"/>
      <c r="I501" s="3">
        <v>17</v>
      </c>
      <c r="J501" s="6" t="s">
        <v>986</v>
      </c>
      <c r="K501" s="6" t="s">
        <v>986</v>
      </c>
      <c r="L501" s="6">
        <v>15.188570886136031</v>
      </c>
    </row>
    <row r="502" spans="1:12" x14ac:dyDescent="0.25">
      <c r="A502" s="2" t="s">
        <v>1760</v>
      </c>
      <c r="B502" s="2" t="s">
        <v>1322</v>
      </c>
      <c r="C502" s="4">
        <v>44.7</v>
      </c>
      <c r="D502" s="5">
        <v>0</v>
      </c>
      <c r="E502" s="5">
        <v>0</v>
      </c>
      <c r="F502" s="5">
        <v>562516.625</v>
      </c>
      <c r="G502" s="3"/>
      <c r="H502" s="3"/>
      <c r="I502" s="3">
        <v>35</v>
      </c>
      <c r="J502" s="6" t="s">
        <v>986</v>
      </c>
      <c r="K502" s="6" t="s">
        <v>986</v>
      </c>
      <c r="L502" s="6">
        <v>31.270587118515355</v>
      </c>
    </row>
    <row r="503" spans="1:12" x14ac:dyDescent="0.25">
      <c r="A503" s="2" t="s">
        <v>1761</v>
      </c>
      <c r="B503" s="2" t="s">
        <v>1048</v>
      </c>
      <c r="C503" s="4">
        <v>28.6</v>
      </c>
      <c r="D503" s="5">
        <v>0</v>
      </c>
      <c r="E503" s="5">
        <v>0</v>
      </c>
      <c r="F503" s="5">
        <v>432005.4921875</v>
      </c>
      <c r="G503" s="3"/>
      <c r="H503" s="3"/>
      <c r="I503" s="3">
        <v>10</v>
      </c>
      <c r="J503" s="6" t="s">
        <v>986</v>
      </c>
      <c r="K503" s="6" t="s">
        <v>986</v>
      </c>
      <c r="L503" s="6">
        <v>8.934453462432959</v>
      </c>
    </row>
    <row r="504" spans="1:12" x14ac:dyDescent="0.25">
      <c r="A504" s="2" t="s">
        <v>1762</v>
      </c>
      <c r="B504" s="2" t="s">
        <v>1086</v>
      </c>
      <c r="C504" s="4">
        <v>42.3</v>
      </c>
      <c r="D504" s="5">
        <v>133258.640625</v>
      </c>
      <c r="E504" s="5">
        <v>0</v>
      </c>
      <c r="F504" s="5">
        <v>326538.5625</v>
      </c>
      <c r="G504" s="3">
        <v>6</v>
      </c>
      <c r="H504" s="3"/>
      <c r="I504" s="3">
        <v>5</v>
      </c>
      <c r="J504" s="6">
        <v>7.0160268356317559</v>
      </c>
      <c r="K504" s="6" t="s">
        <v>986</v>
      </c>
      <c r="L504" s="6">
        <v>4.4672267312164795</v>
      </c>
    </row>
    <row r="505" spans="1:12" x14ac:dyDescent="0.25">
      <c r="A505" s="2" t="s">
        <v>1763</v>
      </c>
      <c r="B505" s="2" t="s">
        <v>1017</v>
      </c>
      <c r="C505" s="4">
        <v>59.6</v>
      </c>
      <c r="D505" s="5">
        <v>983969.90625</v>
      </c>
      <c r="E505" s="5">
        <v>0</v>
      </c>
      <c r="F505" s="5">
        <v>3125755.25</v>
      </c>
      <c r="G505" s="3">
        <v>4</v>
      </c>
      <c r="H505" s="3"/>
      <c r="I505" s="3">
        <v>7</v>
      </c>
      <c r="J505" s="6">
        <v>4.6773512237545036</v>
      </c>
      <c r="K505" s="6" t="s">
        <v>986</v>
      </c>
      <c r="L505" s="6">
        <v>6.2541174237030717</v>
      </c>
    </row>
    <row r="506" spans="1:12" x14ac:dyDescent="0.25">
      <c r="A506" s="2" t="s">
        <v>1764</v>
      </c>
      <c r="B506" s="2" t="s">
        <v>1765</v>
      </c>
      <c r="C506" s="4">
        <v>53.1</v>
      </c>
      <c r="D506" s="5">
        <v>0</v>
      </c>
      <c r="E506" s="5">
        <v>0</v>
      </c>
      <c r="F506" s="5">
        <v>570824.5</v>
      </c>
      <c r="G506" s="3"/>
      <c r="H506" s="3"/>
      <c r="I506" s="3">
        <v>2</v>
      </c>
      <c r="J506" s="6" t="s">
        <v>986</v>
      </c>
      <c r="K506" s="6" t="s">
        <v>986</v>
      </c>
      <c r="L506" s="6">
        <v>1.7868906924865919</v>
      </c>
    </row>
    <row r="507" spans="1:12" x14ac:dyDescent="0.25">
      <c r="A507" s="2" t="s">
        <v>1766</v>
      </c>
      <c r="B507" s="2" t="s">
        <v>1767</v>
      </c>
      <c r="C507" s="4">
        <v>41.4</v>
      </c>
      <c r="D507" s="5">
        <v>0</v>
      </c>
      <c r="E507" s="5">
        <v>0</v>
      </c>
      <c r="F507" s="5">
        <v>1715330.90625</v>
      </c>
      <c r="G507" s="3"/>
      <c r="H507" s="3"/>
      <c r="I507" s="3">
        <v>4</v>
      </c>
      <c r="J507" s="6" t="s">
        <v>986</v>
      </c>
      <c r="K507" s="6" t="s">
        <v>986</v>
      </c>
      <c r="L507" s="6">
        <v>3.5737813849731839</v>
      </c>
    </row>
    <row r="508" spans="1:12" x14ac:dyDescent="0.25">
      <c r="A508" s="2" t="s">
        <v>1768</v>
      </c>
      <c r="B508" s="2" t="s">
        <v>1508</v>
      </c>
      <c r="C508" s="4">
        <v>10.3</v>
      </c>
      <c r="D508" s="5">
        <v>0</v>
      </c>
      <c r="E508" s="5">
        <v>0</v>
      </c>
      <c r="F508" s="5">
        <v>4135806.875</v>
      </c>
      <c r="G508" s="3"/>
      <c r="H508" s="3"/>
      <c r="I508" s="3">
        <v>5</v>
      </c>
      <c r="J508" s="6" t="s">
        <v>986</v>
      </c>
      <c r="K508" s="6" t="s">
        <v>986</v>
      </c>
      <c r="L508" s="6">
        <v>4.4672267312164795</v>
      </c>
    </row>
    <row r="509" spans="1:12" x14ac:dyDescent="0.25">
      <c r="A509" s="2" t="s">
        <v>1769</v>
      </c>
      <c r="B509" s="2" t="s">
        <v>1324</v>
      </c>
      <c r="C509" s="4">
        <v>29.8</v>
      </c>
      <c r="D509" s="5">
        <v>0</v>
      </c>
      <c r="E509" s="5">
        <v>0</v>
      </c>
      <c r="F509" s="5">
        <v>3219266.875</v>
      </c>
      <c r="G509" s="3"/>
      <c r="H509" s="3"/>
      <c r="I509" s="3">
        <v>6</v>
      </c>
      <c r="J509" s="6" t="s">
        <v>986</v>
      </c>
      <c r="K509" s="6" t="s">
        <v>986</v>
      </c>
      <c r="L509" s="6">
        <v>5.3606720774597756</v>
      </c>
    </row>
    <row r="510" spans="1:12" x14ac:dyDescent="0.25">
      <c r="A510" s="2" t="s">
        <v>1770</v>
      </c>
      <c r="B510" s="2" t="s">
        <v>1771</v>
      </c>
      <c r="C510" s="4">
        <v>50.1</v>
      </c>
      <c r="D510" s="5">
        <v>0</v>
      </c>
      <c r="E510" s="5">
        <v>0</v>
      </c>
      <c r="F510" s="5">
        <v>1182124.5625</v>
      </c>
      <c r="G510" s="3"/>
      <c r="H510" s="3"/>
      <c r="I510" s="3">
        <v>2</v>
      </c>
      <c r="J510" s="6" t="s">
        <v>986</v>
      </c>
      <c r="K510" s="6" t="s">
        <v>986</v>
      </c>
      <c r="L510" s="6">
        <v>1.7868906924865919</v>
      </c>
    </row>
    <row r="511" spans="1:12" x14ac:dyDescent="0.25">
      <c r="A511" s="2" t="s">
        <v>1772</v>
      </c>
      <c r="B511" s="2" t="s">
        <v>1773</v>
      </c>
      <c r="C511" s="4">
        <v>13.2</v>
      </c>
      <c r="D511" s="5">
        <v>0</v>
      </c>
      <c r="E511" s="5">
        <v>0</v>
      </c>
      <c r="F511" s="5">
        <v>841165.8125</v>
      </c>
      <c r="G511" s="3"/>
      <c r="H511" s="3"/>
      <c r="I511" s="3">
        <v>6</v>
      </c>
      <c r="J511" s="6" t="s">
        <v>986</v>
      </c>
      <c r="K511" s="6" t="s">
        <v>986</v>
      </c>
      <c r="L511" s="6">
        <v>5.3606720774597756</v>
      </c>
    </row>
    <row r="512" spans="1:12" x14ac:dyDescent="0.25">
      <c r="A512" s="2" t="s">
        <v>1774</v>
      </c>
      <c r="B512" s="2" t="s">
        <v>1775</v>
      </c>
      <c r="C512" s="4">
        <v>78.900000000000006</v>
      </c>
      <c r="D512" s="5">
        <v>0</v>
      </c>
      <c r="E512" s="5">
        <v>0</v>
      </c>
      <c r="F512" s="5">
        <v>648673.28125</v>
      </c>
      <c r="G512" s="3"/>
      <c r="H512" s="3"/>
      <c r="I512" s="3">
        <v>3</v>
      </c>
      <c r="J512" s="6" t="s">
        <v>986</v>
      </c>
      <c r="K512" s="6" t="s">
        <v>986</v>
      </c>
      <c r="L512" s="6">
        <v>2.6803360387298878</v>
      </c>
    </row>
    <row r="513" spans="1:12" x14ac:dyDescent="0.25">
      <c r="A513" s="2" t="s">
        <v>1776</v>
      </c>
      <c r="B513" s="2" t="s">
        <v>1777</v>
      </c>
      <c r="C513" s="4">
        <v>14.1</v>
      </c>
      <c r="D513" s="5">
        <v>326436.40625</v>
      </c>
      <c r="E513" s="5">
        <v>0</v>
      </c>
      <c r="F513" s="5">
        <v>1122128.8125</v>
      </c>
      <c r="G513" s="3">
        <v>4</v>
      </c>
      <c r="H513" s="3"/>
      <c r="I513" s="3">
        <v>2</v>
      </c>
      <c r="J513" s="6">
        <v>4.6773512237545036</v>
      </c>
      <c r="K513" s="6" t="s">
        <v>986</v>
      </c>
      <c r="L513" s="6">
        <v>1.7868906924865919</v>
      </c>
    </row>
    <row r="514" spans="1:12" x14ac:dyDescent="0.25">
      <c r="A514" s="2" t="s">
        <v>1778</v>
      </c>
      <c r="B514" s="2" t="s">
        <v>1715</v>
      </c>
      <c r="C514" s="4">
        <v>15.9</v>
      </c>
      <c r="D514" s="5">
        <v>0</v>
      </c>
      <c r="E514" s="5">
        <v>0</v>
      </c>
      <c r="F514" s="5">
        <v>0</v>
      </c>
      <c r="G514" s="3"/>
      <c r="H514" s="3"/>
      <c r="I514" s="3">
        <v>3</v>
      </c>
      <c r="J514" s="6" t="s">
        <v>986</v>
      </c>
      <c r="K514" s="6" t="s">
        <v>986</v>
      </c>
      <c r="L514" s="6">
        <v>2.6803360387298878</v>
      </c>
    </row>
    <row r="515" spans="1:12" x14ac:dyDescent="0.25">
      <c r="A515" s="2" t="s">
        <v>1779</v>
      </c>
      <c r="B515" s="2" t="s">
        <v>1367</v>
      </c>
      <c r="C515" s="4">
        <v>53.4</v>
      </c>
      <c r="D515" s="5">
        <v>544683.375</v>
      </c>
      <c r="E515" s="5">
        <v>0</v>
      </c>
      <c r="F515" s="5">
        <v>254579.84375</v>
      </c>
      <c r="G515" s="3">
        <v>2</v>
      </c>
      <c r="H515" s="3"/>
      <c r="I515" s="3">
        <v>2</v>
      </c>
      <c r="J515" s="6">
        <v>2.3386756118772518</v>
      </c>
      <c r="K515" s="6" t="s">
        <v>986</v>
      </c>
      <c r="L515" s="6">
        <v>1.7868906924865919</v>
      </c>
    </row>
    <row r="516" spans="1:12" x14ac:dyDescent="0.25">
      <c r="A516" s="2" t="s">
        <v>1780</v>
      </c>
      <c r="B516" s="2" t="s">
        <v>1781</v>
      </c>
      <c r="C516" s="4">
        <v>99.2</v>
      </c>
      <c r="D516" s="5">
        <v>0</v>
      </c>
      <c r="E516" s="5">
        <v>0</v>
      </c>
      <c r="F516" s="5">
        <v>1457919.71875</v>
      </c>
      <c r="G516" s="3"/>
      <c r="H516" s="3"/>
      <c r="I516" s="3">
        <v>5</v>
      </c>
      <c r="J516" s="6" t="s">
        <v>986</v>
      </c>
      <c r="K516" s="6" t="s">
        <v>986</v>
      </c>
      <c r="L516" s="6">
        <v>4.4672267312164795</v>
      </c>
    </row>
    <row r="517" spans="1:12" x14ac:dyDescent="0.25">
      <c r="A517" s="2" t="s">
        <v>1782</v>
      </c>
      <c r="B517" s="2" t="s">
        <v>1272</v>
      </c>
      <c r="C517" s="4">
        <v>29.4</v>
      </c>
      <c r="D517" s="5">
        <v>211963.171875</v>
      </c>
      <c r="E517" s="5">
        <v>0</v>
      </c>
      <c r="F517" s="5">
        <v>2314217.234375</v>
      </c>
      <c r="G517" s="3">
        <v>9</v>
      </c>
      <c r="H517" s="3"/>
      <c r="I517" s="3">
        <v>10</v>
      </c>
      <c r="J517" s="6">
        <v>10.524040253447634</v>
      </c>
      <c r="K517" s="6" t="s">
        <v>986</v>
      </c>
      <c r="L517" s="6">
        <v>8.934453462432959</v>
      </c>
    </row>
    <row r="518" spans="1:12" x14ac:dyDescent="0.25">
      <c r="A518" s="2" t="s">
        <v>1783</v>
      </c>
      <c r="B518" s="2" t="s">
        <v>1100</v>
      </c>
      <c r="C518" s="4">
        <v>63.9</v>
      </c>
      <c r="D518" s="5">
        <v>191858.28125</v>
      </c>
      <c r="E518" s="5">
        <v>0</v>
      </c>
      <c r="F518" s="5">
        <v>1039714.09375</v>
      </c>
      <c r="G518" s="3">
        <v>4</v>
      </c>
      <c r="H518" s="3"/>
      <c r="I518" s="3">
        <v>4</v>
      </c>
      <c r="J518" s="6">
        <v>4.6773512237545036</v>
      </c>
      <c r="K518" s="6" t="s">
        <v>986</v>
      </c>
      <c r="L518" s="6">
        <v>3.5737813849731839</v>
      </c>
    </row>
  </sheetData>
  <mergeCells count="3">
    <mergeCell ref="D1:F1"/>
    <mergeCell ref="G1:I1"/>
    <mergeCell ref="J1:L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2"/>
  <sheetViews>
    <sheetView tabSelected="1" zoomScaleNormal="100" workbookViewId="0">
      <selection activeCell="A2" sqref="A2"/>
    </sheetView>
  </sheetViews>
  <sheetFormatPr defaultColWidth="9" defaultRowHeight="13.2" x14ac:dyDescent="0.3"/>
  <cols>
    <col min="1" max="1" width="13.77734375" style="1" customWidth="1"/>
    <col min="2" max="2" width="67.44140625" style="1" customWidth="1"/>
    <col min="3" max="3" width="9.21875" style="1" bestFit="1" customWidth="1"/>
    <col min="4" max="9" width="9.21875" style="1" hidden="1" customWidth="1"/>
    <col min="10" max="12" width="9.21875" style="1" bestFit="1" customWidth="1"/>
    <col min="13" max="16384" width="9" style="1"/>
  </cols>
  <sheetData>
    <row r="1" spans="1:14" x14ac:dyDescent="0.3">
      <c r="A1" s="7" t="s">
        <v>868</v>
      </c>
      <c r="B1" s="7" t="s">
        <v>2</v>
      </c>
      <c r="C1" s="7" t="s">
        <v>3</v>
      </c>
      <c r="D1" s="9" t="s">
        <v>987</v>
      </c>
      <c r="E1" s="10"/>
      <c r="F1" s="11"/>
      <c r="G1" s="12" t="s">
        <v>988</v>
      </c>
      <c r="H1" s="13"/>
      <c r="I1" s="14"/>
      <c r="J1" s="15" t="s">
        <v>989</v>
      </c>
      <c r="K1" s="16"/>
      <c r="L1" s="17"/>
    </row>
    <row r="2" spans="1:14" x14ac:dyDescent="0.3">
      <c r="A2" s="7" t="s">
        <v>868</v>
      </c>
      <c r="B2" s="7" t="s">
        <v>2</v>
      </c>
      <c r="C2" s="7" t="s">
        <v>3</v>
      </c>
      <c r="D2" s="7" t="s">
        <v>983</v>
      </c>
      <c r="E2" s="7" t="s">
        <v>984</v>
      </c>
      <c r="F2" s="7" t="s">
        <v>985</v>
      </c>
      <c r="G2" s="7" t="s">
        <v>983</v>
      </c>
      <c r="H2" s="7" t="s">
        <v>984</v>
      </c>
      <c r="I2" s="7" t="s">
        <v>985</v>
      </c>
      <c r="J2" s="7" t="s">
        <v>983</v>
      </c>
      <c r="K2" s="7" t="s">
        <v>984</v>
      </c>
      <c r="L2" s="7" t="s">
        <v>985</v>
      </c>
    </row>
    <row r="3" spans="1:14" x14ac:dyDescent="0.25">
      <c r="A3" s="2" t="s">
        <v>4</v>
      </c>
      <c r="B3" s="2" t="s">
        <v>5</v>
      </c>
      <c r="C3" s="4">
        <v>41.9</v>
      </c>
      <c r="D3" s="5">
        <v>52729260</v>
      </c>
      <c r="E3" s="5">
        <v>56885524</v>
      </c>
      <c r="F3" s="5">
        <v>0</v>
      </c>
      <c r="G3" s="3">
        <v>23</v>
      </c>
      <c r="H3" s="3">
        <v>33</v>
      </c>
      <c r="I3" s="3"/>
      <c r="J3" s="6">
        <v>24.558021467943139</v>
      </c>
      <c r="K3" s="6">
        <v>32.195228628230616</v>
      </c>
      <c r="L3" s="6" t="s">
        <v>986</v>
      </c>
      <c r="M3" s="8">
        <f>AVERAGE(J3:L3)</f>
        <v>28.376625048086879</v>
      </c>
      <c r="N3" s="1">
        <f>STDEV(J3:L3)</f>
        <v>5.4003209723657104</v>
      </c>
    </row>
    <row r="4" spans="1:14" x14ac:dyDescent="0.25">
      <c r="A4" s="2" t="s">
        <v>6</v>
      </c>
      <c r="B4" s="2" t="s">
        <v>7</v>
      </c>
      <c r="C4" s="4">
        <v>15.4</v>
      </c>
      <c r="D4" s="5">
        <v>0</v>
      </c>
      <c r="E4" s="5">
        <v>0</v>
      </c>
      <c r="F4" s="5">
        <v>0</v>
      </c>
      <c r="G4" s="3">
        <v>5</v>
      </c>
      <c r="H4" s="3">
        <v>4</v>
      </c>
      <c r="I4" s="3">
        <v>3</v>
      </c>
      <c r="J4" s="6">
        <v>5.3387003191180735</v>
      </c>
      <c r="K4" s="6">
        <v>3.9024519549370442</v>
      </c>
      <c r="L4" s="6">
        <v>2.8889324960753533</v>
      </c>
      <c r="M4" s="8">
        <f t="shared" ref="M4:M67" si="0">AVERAGE(J4:L4)</f>
        <v>4.0433615900434905</v>
      </c>
      <c r="N4" s="1">
        <f t="shared" ref="N4:N67" si="1">STDEV(J4:L4)</f>
        <v>1.230947700210387</v>
      </c>
    </row>
    <row r="5" spans="1:14" x14ac:dyDescent="0.25">
      <c r="A5" s="2" t="s">
        <v>8</v>
      </c>
      <c r="B5" s="2" t="s">
        <v>9</v>
      </c>
      <c r="C5" s="4">
        <v>13.7</v>
      </c>
      <c r="D5" s="5">
        <v>3946663</v>
      </c>
      <c r="E5" s="5">
        <v>3018678.25</v>
      </c>
      <c r="F5" s="5">
        <v>3359376.25</v>
      </c>
      <c r="G5" s="3">
        <v>6</v>
      </c>
      <c r="H5" s="3">
        <v>6</v>
      </c>
      <c r="I5" s="3">
        <v>6</v>
      </c>
      <c r="J5" s="6">
        <v>6.406440382941688</v>
      </c>
      <c r="K5" s="6">
        <v>5.8536779324055672</v>
      </c>
      <c r="L5" s="6">
        <v>5.7778649921507066</v>
      </c>
      <c r="M5" s="8">
        <f t="shared" si="0"/>
        <v>6.0126611024993215</v>
      </c>
      <c r="N5" s="1">
        <f t="shared" si="1"/>
        <v>0.34312314372073949</v>
      </c>
    </row>
    <row r="6" spans="1:14" x14ac:dyDescent="0.25">
      <c r="A6" s="2" t="s">
        <v>10</v>
      </c>
      <c r="B6" s="2" t="s">
        <v>11</v>
      </c>
      <c r="C6" s="4">
        <v>89.5</v>
      </c>
      <c r="D6" s="5">
        <v>0</v>
      </c>
      <c r="E6" s="5">
        <v>250580</v>
      </c>
      <c r="F6" s="5">
        <v>0</v>
      </c>
      <c r="G6" s="3"/>
      <c r="H6" s="3">
        <v>7</v>
      </c>
      <c r="I6" s="3"/>
      <c r="J6" s="6" t="s">
        <v>986</v>
      </c>
      <c r="K6" s="6">
        <v>6.8292909211398278</v>
      </c>
      <c r="L6" s="6" t="s">
        <v>986</v>
      </c>
      <c r="M6" s="8">
        <f t="shared" si="0"/>
        <v>6.8292909211398278</v>
      </c>
      <c r="N6" s="1" t="e">
        <f t="shared" si="1"/>
        <v>#DIV/0!</v>
      </c>
    </row>
    <row r="7" spans="1:14" x14ac:dyDescent="0.25">
      <c r="A7" s="2" t="s">
        <v>12</v>
      </c>
      <c r="B7" s="2" t="s">
        <v>13</v>
      </c>
      <c r="C7" s="4">
        <v>88</v>
      </c>
      <c r="D7" s="5">
        <v>651832.125</v>
      </c>
      <c r="E7" s="5">
        <v>708982.8125</v>
      </c>
      <c r="F7" s="5">
        <v>987686.25</v>
      </c>
      <c r="G7" s="3">
        <v>10</v>
      </c>
      <c r="H7" s="3">
        <v>7</v>
      </c>
      <c r="I7" s="3">
        <v>5</v>
      </c>
      <c r="J7" s="6">
        <v>10.677400638236147</v>
      </c>
      <c r="K7" s="6">
        <v>6.8292909211398278</v>
      </c>
      <c r="L7" s="6">
        <v>4.8148874934589223</v>
      </c>
      <c r="M7" s="8">
        <f t="shared" si="0"/>
        <v>7.4405263509449648</v>
      </c>
      <c r="N7" s="1">
        <f t="shared" si="1"/>
        <v>2.9786694439226138</v>
      </c>
    </row>
    <row r="8" spans="1:14" x14ac:dyDescent="0.25">
      <c r="A8" s="2" t="s">
        <v>14</v>
      </c>
      <c r="B8" s="2" t="s">
        <v>15</v>
      </c>
      <c r="C8" s="4">
        <v>96.2</v>
      </c>
      <c r="D8" s="5">
        <v>2200418.046875</v>
      </c>
      <c r="E8" s="5">
        <v>1654824.3125</v>
      </c>
      <c r="F8" s="5">
        <v>2575254.296875</v>
      </c>
      <c r="G8" s="3">
        <v>17</v>
      </c>
      <c r="H8" s="3">
        <v>12</v>
      </c>
      <c r="I8" s="3">
        <v>17</v>
      </c>
      <c r="J8" s="6">
        <v>18.15158108500145</v>
      </c>
      <c r="K8" s="6">
        <v>11.707355864811134</v>
      </c>
      <c r="L8" s="6">
        <v>16.370617477760334</v>
      </c>
      <c r="M8" s="8">
        <f t="shared" si="0"/>
        <v>15.409851475857641</v>
      </c>
      <c r="N8" s="1">
        <f t="shared" si="1"/>
        <v>3.3278090622725398</v>
      </c>
    </row>
    <row r="9" spans="1:14" x14ac:dyDescent="0.25">
      <c r="A9" s="2" t="s">
        <v>16</v>
      </c>
      <c r="B9" s="2" t="s">
        <v>17</v>
      </c>
      <c r="C9" s="4">
        <v>14.6</v>
      </c>
      <c r="D9" s="5">
        <v>0</v>
      </c>
      <c r="E9" s="5">
        <v>2633084.25</v>
      </c>
      <c r="F9" s="5">
        <v>2895005</v>
      </c>
      <c r="G9" s="3">
        <v>6</v>
      </c>
      <c r="H9" s="3">
        <v>5</v>
      </c>
      <c r="I9" s="3">
        <v>4</v>
      </c>
      <c r="J9" s="6">
        <v>6.406440382941688</v>
      </c>
      <c r="K9" s="6">
        <v>4.8780649436713057</v>
      </c>
      <c r="L9" s="6">
        <v>3.851909994767138</v>
      </c>
      <c r="M9" s="8">
        <f t="shared" si="0"/>
        <v>5.045471773793377</v>
      </c>
      <c r="N9" s="1">
        <f t="shared" si="1"/>
        <v>1.2854669039323603</v>
      </c>
    </row>
    <row r="10" spans="1:14" x14ac:dyDescent="0.25">
      <c r="A10" s="2" t="s">
        <v>18</v>
      </c>
      <c r="B10" s="2" t="s">
        <v>19</v>
      </c>
      <c r="C10" s="4">
        <v>64.599999999999994</v>
      </c>
      <c r="D10" s="5">
        <v>780181.75</v>
      </c>
      <c r="E10" s="5">
        <v>0</v>
      </c>
      <c r="F10" s="5">
        <v>460943.15625</v>
      </c>
      <c r="G10" s="3">
        <v>12</v>
      </c>
      <c r="H10" s="3">
        <v>8</v>
      </c>
      <c r="I10" s="3">
        <v>9</v>
      </c>
      <c r="J10" s="6">
        <v>12.812880765883376</v>
      </c>
      <c r="K10" s="6">
        <v>7.8049039098740884</v>
      </c>
      <c r="L10" s="6">
        <v>8.6667974882260594</v>
      </c>
      <c r="M10" s="8">
        <f t="shared" si="0"/>
        <v>9.7615273879945068</v>
      </c>
      <c r="N10" s="1">
        <f t="shared" si="1"/>
        <v>2.6774583493803323</v>
      </c>
    </row>
    <row r="11" spans="1:14" x14ac:dyDescent="0.25">
      <c r="A11" s="2" t="s">
        <v>20</v>
      </c>
      <c r="B11" s="2" t="s">
        <v>21</v>
      </c>
      <c r="C11" s="4">
        <v>29.4</v>
      </c>
      <c r="D11" s="5">
        <v>1131494.390625</v>
      </c>
      <c r="E11" s="5">
        <v>1288801.96875</v>
      </c>
      <c r="F11" s="5">
        <v>466493.71875</v>
      </c>
      <c r="G11" s="3">
        <v>9</v>
      </c>
      <c r="H11" s="3">
        <v>9</v>
      </c>
      <c r="I11" s="3">
        <v>4</v>
      </c>
      <c r="J11" s="6">
        <v>9.6096605744125334</v>
      </c>
      <c r="K11" s="6">
        <v>8.7805168986083508</v>
      </c>
      <c r="L11" s="6">
        <v>3.851909994767138</v>
      </c>
      <c r="M11" s="8">
        <f t="shared" si="0"/>
        <v>7.4140291559293408</v>
      </c>
      <c r="N11" s="1">
        <f t="shared" si="1"/>
        <v>3.1126177885376003</v>
      </c>
    </row>
    <row r="12" spans="1:14" x14ac:dyDescent="0.25">
      <c r="A12" s="2" t="s">
        <v>22</v>
      </c>
      <c r="B12" s="2" t="s">
        <v>23</v>
      </c>
      <c r="C12" s="4">
        <v>64.2</v>
      </c>
      <c r="D12" s="5">
        <v>3658068.92578125</v>
      </c>
      <c r="E12" s="5">
        <v>2357904.2109375</v>
      </c>
      <c r="F12" s="5">
        <v>3276958.0292968801</v>
      </c>
      <c r="G12" s="3">
        <v>15</v>
      </c>
      <c r="H12" s="3">
        <v>11</v>
      </c>
      <c r="I12" s="3">
        <v>13</v>
      </c>
      <c r="J12" s="6">
        <v>16.016100957354219</v>
      </c>
      <c r="K12" s="6">
        <v>10.731742876076872</v>
      </c>
      <c r="L12" s="6">
        <v>12.518707482993197</v>
      </c>
      <c r="M12" s="8">
        <f t="shared" si="0"/>
        <v>13.088850438808095</v>
      </c>
      <c r="N12" s="1">
        <f t="shared" si="1"/>
        <v>2.6879187720873112</v>
      </c>
    </row>
    <row r="13" spans="1:14" x14ac:dyDescent="0.25">
      <c r="A13" s="2" t="s">
        <v>24</v>
      </c>
      <c r="B13" s="2" t="s">
        <v>25</v>
      </c>
      <c r="C13" s="4">
        <v>28.8</v>
      </c>
      <c r="D13" s="5">
        <v>10190119.625</v>
      </c>
      <c r="E13" s="5">
        <v>13074700</v>
      </c>
      <c r="F13" s="5">
        <v>16261595.5</v>
      </c>
      <c r="G13" s="3">
        <v>28</v>
      </c>
      <c r="H13" s="3">
        <v>32</v>
      </c>
      <c r="I13" s="3">
        <v>35</v>
      </c>
      <c r="J13" s="6">
        <v>29.896721787061214</v>
      </c>
      <c r="K13" s="6">
        <v>31.219615639496354</v>
      </c>
      <c r="L13" s="6">
        <v>33.704212454212453</v>
      </c>
      <c r="M13" s="8">
        <f t="shared" si="0"/>
        <v>31.606849960256671</v>
      </c>
      <c r="N13" s="1">
        <f t="shared" si="1"/>
        <v>1.9330569338464856</v>
      </c>
    </row>
    <row r="14" spans="1:14" x14ac:dyDescent="0.25">
      <c r="A14" s="2" t="s">
        <v>26</v>
      </c>
      <c r="B14" s="2" t="s">
        <v>27</v>
      </c>
      <c r="C14" s="4">
        <v>23.1</v>
      </c>
      <c r="D14" s="5">
        <v>5212349.8125</v>
      </c>
      <c r="E14" s="5">
        <v>6129538.25</v>
      </c>
      <c r="F14" s="5">
        <v>8323774.53125</v>
      </c>
      <c r="G14" s="3">
        <v>6</v>
      </c>
      <c r="H14" s="3">
        <v>6</v>
      </c>
      <c r="I14" s="3">
        <v>6</v>
      </c>
      <c r="J14" s="6">
        <v>6.406440382941688</v>
      </c>
      <c r="K14" s="6">
        <v>5.8536779324055672</v>
      </c>
      <c r="L14" s="6">
        <v>5.7778649921507066</v>
      </c>
      <c r="M14" s="8">
        <f t="shared" si="0"/>
        <v>6.0126611024993215</v>
      </c>
      <c r="N14" s="1">
        <f t="shared" si="1"/>
        <v>0.34312314372073949</v>
      </c>
    </row>
    <row r="15" spans="1:14" x14ac:dyDescent="0.25">
      <c r="A15" s="2" t="s">
        <v>28</v>
      </c>
      <c r="B15" s="2" t="s">
        <v>29</v>
      </c>
      <c r="C15" s="4">
        <v>67.099999999999994</v>
      </c>
      <c r="D15" s="5">
        <v>14504143.125</v>
      </c>
      <c r="E15" s="5">
        <v>13811528.75</v>
      </c>
      <c r="F15" s="5">
        <v>14304644.75</v>
      </c>
      <c r="G15" s="3">
        <v>23</v>
      </c>
      <c r="H15" s="3">
        <v>30</v>
      </c>
      <c r="I15" s="3">
        <v>27</v>
      </c>
      <c r="J15" s="6">
        <v>24.558021467943139</v>
      </c>
      <c r="K15" s="6">
        <v>29.268389662027829</v>
      </c>
      <c r="L15" s="6">
        <v>26.000392464678178</v>
      </c>
      <c r="M15" s="8">
        <f t="shared" si="0"/>
        <v>26.608934531549711</v>
      </c>
      <c r="N15" s="1">
        <f t="shared" si="1"/>
        <v>2.413428001065161</v>
      </c>
    </row>
    <row r="16" spans="1:14" x14ac:dyDescent="0.25">
      <c r="A16" s="2" t="s">
        <v>30</v>
      </c>
      <c r="B16" s="2" t="s">
        <v>31</v>
      </c>
      <c r="C16" s="4">
        <v>112.5</v>
      </c>
      <c r="D16" s="5">
        <v>0</v>
      </c>
      <c r="E16" s="5">
        <v>3165775.73046875</v>
      </c>
      <c r="F16" s="5">
        <v>1672457.92578125</v>
      </c>
      <c r="G16" s="3"/>
      <c r="H16" s="3">
        <v>16</v>
      </c>
      <c r="I16" s="3">
        <v>19</v>
      </c>
      <c r="J16" s="6" t="s">
        <v>986</v>
      </c>
      <c r="K16" s="6">
        <v>15.609807819748177</v>
      </c>
      <c r="L16" s="6">
        <v>18.296572475143904</v>
      </c>
      <c r="M16" s="8">
        <f t="shared" si="0"/>
        <v>16.95319014744604</v>
      </c>
      <c r="N16" s="1">
        <f t="shared" si="1"/>
        <v>1.8998295072826563</v>
      </c>
    </row>
    <row r="17" spans="1:14" x14ac:dyDescent="0.25">
      <c r="A17" s="2" t="s">
        <v>32</v>
      </c>
      <c r="B17" s="2" t="s">
        <v>33</v>
      </c>
      <c r="C17" s="4">
        <v>57.9</v>
      </c>
      <c r="D17" s="5">
        <v>1602045.53125</v>
      </c>
      <c r="E17" s="5">
        <v>1519472.765625</v>
      </c>
      <c r="F17" s="5">
        <v>1550107.9765625</v>
      </c>
      <c r="G17" s="3">
        <v>6</v>
      </c>
      <c r="H17" s="3">
        <v>7</v>
      </c>
      <c r="I17" s="3">
        <v>6</v>
      </c>
      <c r="J17" s="6">
        <v>6.406440382941688</v>
      </c>
      <c r="K17" s="6">
        <v>6.8292909211398278</v>
      </c>
      <c r="L17" s="6">
        <v>5.7778649921507066</v>
      </c>
      <c r="M17" s="8">
        <f t="shared" si="0"/>
        <v>6.3378654320774075</v>
      </c>
      <c r="N17" s="1">
        <f t="shared" si="1"/>
        <v>0.52905672092147926</v>
      </c>
    </row>
    <row r="18" spans="1:14" x14ac:dyDescent="0.25">
      <c r="A18" s="2" t="s">
        <v>34</v>
      </c>
      <c r="B18" s="2" t="s">
        <v>35</v>
      </c>
      <c r="C18" s="4">
        <v>73.5</v>
      </c>
      <c r="D18" s="5">
        <v>670272.65625</v>
      </c>
      <c r="E18" s="5">
        <v>312740.65625</v>
      </c>
      <c r="F18" s="5">
        <v>491751.75</v>
      </c>
      <c r="G18" s="3">
        <v>11</v>
      </c>
      <c r="H18" s="3">
        <v>9</v>
      </c>
      <c r="I18" s="3">
        <v>6</v>
      </c>
      <c r="J18" s="6">
        <v>11.745140702059762</v>
      </c>
      <c r="K18" s="6">
        <v>8.7805168986083508</v>
      </c>
      <c r="L18" s="6">
        <v>5.7778649921507066</v>
      </c>
      <c r="M18" s="8">
        <f t="shared" si="0"/>
        <v>8.7678408642729391</v>
      </c>
      <c r="N18" s="1">
        <f t="shared" si="1"/>
        <v>2.983658050263557</v>
      </c>
    </row>
    <row r="19" spans="1:14" x14ac:dyDescent="0.25">
      <c r="A19" s="2" t="s">
        <v>36</v>
      </c>
      <c r="B19" s="2" t="s">
        <v>37</v>
      </c>
      <c r="C19" s="4">
        <v>92.3</v>
      </c>
      <c r="D19" s="5">
        <v>0</v>
      </c>
      <c r="E19" s="5">
        <v>4487352.8359375</v>
      </c>
      <c r="F19" s="5">
        <v>3832580.546875</v>
      </c>
      <c r="G19" s="3"/>
      <c r="H19" s="3">
        <v>19</v>
      </c>
      <c r="I19" s="3">
        <v>17</v>
      </c>
      <c r="J19" s="6" t="s">
        <v>986</v>
      </c>
      <c r="K19" s="6">
        <v>18.53664678595096</v>
      </c>
      <c r="L19" s="6">
        <v>16.370617477760334</v>
      </c>
      <c r="M19" s="8">
        <f t="shared" si="0"/>
        <v>17.453632131855649</v>
      </c>
      <c r="N19" s="1">
        <f t="shared" si="1"/>
        <v>1.5316140120703985</v>
      </c>
    </row>
    <row r="20" spans="1:14" x14ac:dyDescent="0.25">
      <c r="A20" s="2" t="s">
        <v>38</v>
      </c>
      <c r="B20" s="2" t="s">
        <v>39</v>
      </c>
      <c r="C20" s="4">
        <v>15.5</v>
      </c>
      <c r="D20" s="5">
        <v>6760947</v>
      </c>
      <c r="E20" s="5">
        <v>5862350</v>
      </c>
      <c r="F20" s="5">
        <v>6285725.5</v>
      </c>
      <c r="G20" s="3">
        <v>31</v>
      </c>
      <c r="H20" s="3">
        <v>34</v>
      </c>
      <c r="I20" s="3">
        <v>46</v>
      </c>
      <c r="J20" s="6">
        <v>33.099941978532058</v>
      </c>
      <c r="K20" s="6">
        <v>33.170841616964879</v>
      </c>
      <c r="L20" s="6">
        <v>44.296964939822082</v>
      </c>
      <c r="M20" s="8">
        <f t="shared" si="0"/>
        <v>36.855916178439678</v>
      </c>
      <c r="N20" s="1">
        <f t="shared" si="1"/>
        <v>6.4442347638517337</v>
      </c>
    </row>
    <row r="21" spans="1:14" x14ac:dyDescent="0.25">
      <c r="A21" s="2" t="s">
        <v>40</v>
      </c>
      <c r="B21" s="2" t="s">
        <v>41</v>
      </c>
      <c r="C21" s="4">
        <v>31.2</v>
      </c>
      <c r="D21" s="5">
        <v>0</v>
      </c>
      <c r="E21" s="5">
        <v>588047.515625</v>
      </c>
      <c r="F21" s="5">
        <v>0</v>
      </c>
      <c r="G21" s="3"/>
      <c r="H21" s="3">
        <v>4</v>
      </c>
      <c r="I21" s="3"/>
      <c r="J21" s="6" t="s">
        <v>986</v>
      </c>
      <c r="K21" s="6">
        <v>3.9024519549370442</v>
      </c>
      <c r="L21" s="6" t="s">
        <v>986</v>
      </c>
      <c r="M21" s="8">
        <f t="shared" si="0"/>
        <v>3.9024519549370442</v>
      </c>
      <c r="N21" s="1" t="e">
        <f t="shared" si="1"/>
        <v>#DIV/0!</v>
      </c>
    </row>
    <row r="22" spans="1:14" x14ac:dyDescent="0.25">
      <c r="A22" s="2" t="s">
        <v>42</v>
      </c>
      <c r="B22" s="2" t="s">
        <v>43</v>
      </c>
      <c r="C22" s="4">
        <v>186.4</v>
      </c>
      <c r="D22" s="5">
        <v>0</v>
      </c>
      <c r="E22" s="5">
        <v>507441.78125</v>
      </c>
      <c r="F22" s="5">
        <v>0</v>
      </c>
      <c r="G22" s="3"/>
      <c r="H22" s="3">
        <v>6</v>
      </c>
      <c r="I22" s="3"/>
      <c r="J22" s="6" t="s">
        <v>986</v>
      </c>
      <c r="K22" s="6">
        <v>5.8536779324055672</v>
      </c>
      <c r="L22" s="6" t="s">
        <v>986</v>
      </c>
      <c r="M22" s="8">
        <f t="shared" si="0"/>
        <v>5.8536779324055672</v>
      </c>
      <c r="N22" s="1" t="e">
        <f t="shared" si="1"/>
        <v>#DIV/0!</v>
      </c>
    </row>
    <row r="23" spans="1:14" x14ac:dyDescent="0.25">
      <c r="A23" s="2" t="s">
        <v>44</v>
      </c>
      <c r="B23" s="2" t="s">
        <v>45</v>
      </c>
      <c r="C23" s="4">
        <v>114.3</v>
      </c>
      <c r="D23" s="5">
        <v>1865248.625</v>
      </c>
      <c r="E23" s="5">
        <v>1874242.5625</v>
      </c>
      <c r="F23" s="5">
        <v>1816409.96875</v>
      </c>
      <c r="G23" s="3">
        <v>69</v>
      </c>
      <c r="H23" s="3">
        <v>55</v>
      </c>
      <c r="I23" s="3">
        <v>62</v>
      </c>
      <c r="J23" s="6">
        <v>73.674064403829419</v>
      </c>
      <c r="K23" s="6">
        <v>53.65871438038436</v>
      </c>
      <c r="L23" s="6">
        <v>59.704604918890631</v>
      </c>
      <c r="M23" s="8">
        <f t="shared" si="0"/>
        <v>62.345794567701468</v>
      </c>
      <c r="N23" s="1">
        <f t="shared" si="1"/>
        <v>10.265742603971477</v>
      </c>
    </row>
    <row r="24" spans="1:14" x14ac:dyDescent="0.25">
      <c r="A24" s="2" t="s">
        <v>46</v>
      </c>
      <c r="B24" s="2" t="s">
        <v>47</v>
      </c>
      <c r="C24" s="4">
        <v>148.19999999999999</v>
      </c>
      <c r="D24" s="5">
        <v>167092.703125</v>
      </c>
      <c r="E24" s="5">
        <v>148547.046875</v>
      </c>
      <c r="F24" s="5">
        <v>253825.328125</v>
      </c>
      <c r="G24" s="3">
        <v>5</v>
      </c>
      <c r="H24" s="3">
        <v>5</v>
      </c>
      <c r="I24" s="3">
        <v>5</v>
      </c>
      <c r="J24" s="6">
        <v>5.3387003191180735</v>
      </c>
      <c r="K24" s="6">
        <v>4.8780649436713057</v>
      </c>
      <c r="L24" s="6">
        <v>4.8148874934589223</v>
      </c>
      <c r="M24" s="8">
        <f t="shared" si="0"/>
        <v>5.0105509187494341</v>
      </c>
      <c r="N24" s="1">
        <f t="shared" si="1"/>
        <v>0.28593595310061631</v>
      </c>
    </row>
    <row r="25" spans="1:14" x14ac:dyDescent="0.25">
      <c r="A25" s="2" t="s">
        <v>48</v>
      </c>
      <c r="B25" s="2" t="s">
        <v>49</v>
      </c>
      <c r="C25" s="4">
        <v>34.799999999999997</v>
      </c>
      <c r="D25" s="5">
        <v>64370.171875</v>
      </c>
      <c r="E25" s="5">
        <v>89194.40625</v>
      </c>
      <c r="F25" s="5">
        <v>125049.9609375</v>
      </c>
      <c r="G25" s="3">
        <v>3</v>
      </c>
      <c r="H25" s="3">
        <v>3</v>
      </c>
      <c r="I25" s="3">
        <v>3</v>
      </c>
      <c r="J25" s="6">
        <v>3.203220191470844</v>
      </c>
      <c r="K25" s="6">
        <v>2.9268389662027836</v>
      </c>
      <c r="L25" s="6">
        <v>2.8889324960753533</v>
      </c>
      <c r="M25" s="8">
        <f t="shared" si="0"/>
        <v>3.0063305512496608</v>
      </c>
      <c r="N25" s="1">
        <f t="shared" si="1"/>
        <v>0.17156157186036974</v>
      </c>
    </row>
    <row r="26" spans="1:14" x14ac:dyDescent="0.25">
      <c r="A26" s="2" t="s">
        <v>50</v>
      </c>
      <c r="B26" s="2" t="s">
        <v>51</v>
      </c>
      <c r="C26" s="4">
        <v>16.8</v>
      </c>
      <c r="D26" s="5">
        <v>0</v>
      </c>
      <c r="E26" s="5">
        <v>947374.703125</v>
      </c>
      <c r="F26" s="5">
        <v>0</v>
      </c>
      <c r="G26" s="3"/>
      <c r="H26" s="3">
        <v>3</v>
      </c>
      <c r="I26" s="3"/>
      <c r="J26" s="6" t="s">
        <v>986</v>
      </c>
      <c r="K26" s="6">
        <v>2.9268389662027836</v>
      </c>
      <c r="L26" s="6" t="s">
        <v>986</v>
      </c>
      <c r="M26" s="8">
        <f t="shared" si="0"/>
        <v>2.9268389662027836</v>
      </c>
      <c r="N26" s="1" t="e">
        <f t="shared" si="1"/>
        <v>#DIV/0!</v>
      </c>
    </row>
    <row r="27" spans="1:14" x14ac:dyDescent="0.25">
      <c r="A27" s="2" t="s">
        <v>52</v>
      </c>
      <c r="B27" s="2" t="s">
        <v>53</v>
      </c>
      <c r="C27" s="4">
        <v>49.3</v>
      </c>
      <c r="D27" s="5">
        <v>17163781.359375</v>
      </c>
      <c r="E27" s="5">
        <v>12403091.46875</v>
      </c>
      <c r="F27" s="5">
        <v>15932461.34375</v>
      </c>
      <c r="G27" s="3">
        <v>64</v>
      </c>
      <c r="H27" s="3">
        <v>68</v>
      </c>
      <c r="I27" s="3">
        <v>78</v>
      </c>
      <c r="J27" s="6">
        <v>68.335364084711344</v>
      </c>
      <c r="K27" s="6">
        <v>66.341683233929757</v>
      </c>
      <c r="L27" s="6">
        <v>75.112244897959172</v>
      </c>
      <c r="M27" s="8">
        <f t="shared" si="0"/>
        <v>69.929764072200086</v>
      </c>
      <c r="N27" s="1">
        <f t="shared" si="1"/>
        <v>4.5975288433802888</v>
      </c>
    </row>
    <row r="28" spans="1:14" x14ac:dyDescent="0.25">
      <c r="A28" s="2" t="s">
        <v>54</v>
      </c>
      <c r="B28" s="2" t="s">
        <v>55</v>
      </c>
      <c r="C28" s="4">
        <v>29.8</v>
      </c>
      <c r="D28" s="5">
        <v>13326265.9375</v>
      </c>
      <c r="E28" s="5">
        <v>10687536.8125</v>
      </c>
      <c r="F28" s="5">
        <v>8274233.3125</v>
      </c>
      <c r="G28" s="3">
        <v>58</v>
      </c>
      <c r="H28" s="3">
        <v>64</v>
      </c>
      <c r="I28" s="3">
        <v>69</v>
      </c>
      <c r="J28" s="6">
        <v>61.928923701769655</v>
      </c>
      <c r="K28" s="6">
        <v>62.439231278992708</v>
      </c>
      <c r="L28" s="6">
        <v>66.44544740973312</v>
      </c>
      <c r="M28" s="8">
        <f t="shared" si="0"/>
        <v>63.604534130165156</v>
      </c>
      <c r="N28" s="1">
        <f t="shared" si="1"/>
        <v>2.473498464192367</v>
      </c>
    </row>
    <row r="29" spans="1:14" x14ac:dyDescent="0.25">
      <c r="A29" s="2" t="s">
        <v>56</v>
      </c>
      <c r="B29" s="2" t="s">
        <v>57</v>
      </c>
      <c r="C29" s="4">
        <v>22.1</v>
      </c>
      <c r="D29" s="5">
        <v>47041180.53125</v>
      </c>
      <c r="E29" s="5">
        <v>40065390.21875</v>
      </c>
      <c r="F29" s="5">
        <v>34453620.0625</v>
      </c>
      <c r="G29" s="3">
        <v>38</v>
      </c>
      <c r="H29" s="3">
        <v>40</v>
      </c>
      <c r="I29" s="3">
        <v>31</v>
      </c>
      <c r="J29" s="6">
        <v>40.574122425297354</v>
      </c>
      <c r="K29" s="6">
        <v>39.024519549370446</v>
      </c>
      <c r="L29" s="6">
        <v>29.852302459445315</v>
      </c>
      <c r="M29" s="8">
        <f t="shared" si="0"/>
        <v>36.483648144704368</v>
      </c>
      <c r="N29" s="1">
        <f t="shared" si="1"/>
        <v>5.7949440434160593</v>
      </c>
    </row>
    <row r="30" spans="1:14" x14ac:dyDescent="0.25">
      <c r="A30" s="2" t="s">
        <v>58</v>
      </c>
      <c r="B30" s="2" t="s">
        <v>59</v>
      </c>
      <c r="C30" s="4">
        <v>22.5</v>
      </c>
      <c r="D30" s="5">
        <v>12796262.6875</v>
      </c>
      <c r="E30" s="5">
        <v>9003839.015625</v>
      </c>
      <c r="F30" s="5">
        <v>12746743.984375</v>
      </c>
      <c r="G30" s="3">
        <v>11</v>
      </c>
      <c r="H30" s="3">
        <v>11</v>
      </c>
      <c r="I30" s="3">
        <v>14</v>
      </c>
      <c r="J30" s="6">
        <v>11.745140702059762</v>
      </c>
      <c r="K30" s="6">
        <v>10.731742876076872</v>
      </c>
      <c r="L30" s="6">
        <v>13.481684981684982</v>
      </c>
      <c r="M30" s="8">
        <f t="shared" si="0"/>
        <v>11.986189519940538</v>
      </c>
      <c r="N30" s="1">
        <f t="shared" si="1"/>
        <v>1.3907277934593745</v>
      </c>
    </row>
    <row r="31" spans="1:14" x14ac:dyDescent="0.25">
      <c r="A31" s="2" t="s">
        <v>60</v>
      </c>
      <c r="B31" s="2" t="s">
        <v>61</v>
      </c>
      <c r="C31" s="4">
        <v>114.6</v>
      </c>
      <c r="D31" s="5">
        <v>1257354.328125</v>
      </c>
      <c r="E31" s="5">
        <v>674906.9375</v>
      </c>
      <c r="F31" s="5">
        <v>455947.65625</v>
      </c>
      <c r="G31" s="3">
        <v>68</v>
      </c>
      <c r="H31" s="3">
        <v>53</v>
      </c>
      <c r="I31" s="3">
        <v>60</v>
      </c>
      <c r="J31" s="6">
        <v>72.606324340005798</v>
      </c>
      <c r="K31" s="6">
        <v>51.707488402915835</v>
      </c>
      <c r="L31" s="6">
        <v>57.778649921507061</v>
      </c>
      <c r="M31" s="8">
        <f t="shared" si="0"/>
        <v>60.697487554809562</v>
      </c>
      <c r="N31" s="1">
        <f t="shared" si="1"/>
        <v>10.750816049423346</v>
      </c>
    </row>
    <row r="32" spans="1:14" x14ac:dyDescent="0.25">
      <c r="A32" s="2" t="s">
        <v>62</v>
      </c>
      <c r="B32" s="2" t="s">
        <v>63</v>
      </c>
      <c r="C32" s="4">
        <v>99.9</v>
      </c>
      <c r="D32" s="5">
        <v>1478643.5</v>
      </c>
      <c r="E32" s="5">
        <v>13509952.25</v>
      </c>
      <c r="F32" s="5">
        <v>14241502.84375</v>
      </c>
      <c r="G32" s="3">
        <v>28</v>
      </c>
      <c r="H32" s="3">
        <v>31</v>
      </c>
      <c r="I32" s="3">
        <v>26</v>
      </c>
      <c r="J32" s="6">
        <v>29.896721787061214</v>
      </c>
      <c r="K32" s="6">
        <v>30.244002650762091</v>
      </c>
      <c r="L32" s="6">
        <v>25.037414965986393</v>
      </c>
      <c r="M32" s="8">
        <f t="shared" si="0"/>
        <v>28.39271313460323</v>
      </c>
      <c r="N32" s="1">
        <f t="shared" si="1"/>
        <v>2.9109569474342702</v>
      </c>
    </row>
    <row r="33" spans="1:14" x14ac:dyDescent="0.25">
      <c r="A33" s="2" t="s">
        <v>64</v>
      </c>
      <c r="B33" s="2" t="s">
        <v>65</v>
      </c>
      <c r="C33" s="4">
        <v>38.9</v>
      </c>
      <c r="D33" s="5">
        <v>0</v>
      </c>
      <c r="E33" s="5">
        <v>127431.703125</v>
      </c>
      <c r="F33" s="5">
        <v>85355.1484375</v>
      </c>
      <c r="G33" s="3"/>
      <c r="H33" s="3">
        <v>2</v>
      </c>
      <c r="I33" s="3">
        <v>2</v>
      </c>
      <c r="J33" s="6" t="s">
        <v>986</v>
      </c>
      <c r="K33" s="6">
        <v>1.9512259774685221</v>
      </c>
      <c r="L33" s="6">
        <v>1.925954997383569</v>
      </c>
      <c r="M33" s="8">
        <f t="shared" si="0"/>
        <v>1.9385904874260456</v>
      </c>
      <c r="N33" s="1">
        <f t="shared" si="1"/>
        <v>1.7869281385300532E-2</v>
      </c>
    </row>
    <row r="34" spans="1:14" x14ac:dyDescent="0.25">
      <c r="A34" s="2" t="s">
        <v>66</v>
      </c>
      <c r="B34" s="2" t="s">
        <v>67</v>
      </c>
      <c r="C34" s="4">
        <v>34.6</v>
      </c>
      <c r="D34" s="5">
        <v>5340193.984375</v>
      </c>
      <c r="E34" s="5">
        <v>3686368.5</v>
      </c>
      <c r="F34" s="5">
        <v>4507398.84375</v>
      </c>
      <c r="G34" s="3">
        <v>19</v>
      </c>
      <c r="H34" s="3">
        <v>18</v>
      </c>
      <c r="I34" s="3">
        <v>14</v>
      </c>
      <c r="J34" s="6">
        <v>20.287061212648677</v>
      </c>
      <c r="K34" s="6">
        <v>17.561033797216702</v>
      </c>
      <c r="L34" s="6">
        <v>13.481684981684982</v>
      </c>
      <c r="M34" s="8">
        <f t="shared" si="0"/>
        <v>17.109926663850118</v>
      </c>
      <c r="N34" s="1">
        <f t="shared" si="1"/>
        <v>3.4250415538460608</v>
      </c>
    </row>
    <row r="35" spans="1:14" x14ac:dyDescent="0.25">
      <c r="A35" s="2" t="s">
        <v>68</v>
      </c>
      <c r="B35" s="2" t="s">
        <v>69</v>
      </c>
      <c r="C35" s="4">
        <v>100.5</v>
      </c>
      <c r="D35" s="5">
        <v>721072.25</v>
      </c>
      <c r="E35" s="5">
        <v>611114.03125</v>
      </c>
      <c r="F35" s="5">
        <v>782777.30078125</v>
      </c>
      <c r="G35" s="3">
        <v>5</v>
      </c>
      <c r="H35" s="3">
        <v>4</v>
      </c>
      <c r="I35" s="3">
        <v>4</v>
      </c>
      <c r="J35" s="6">
        <v>5.3387003191180735</v>
      </c>
      <c r="K35" s="6">
        <v>3.9024519549370442</v>
      </c>
      <c r="L35" s="6">
        <v>3.851909994767138</v>
      </c>
      <c r="M35" s="8">
        <f t="shared" si="0"/>
        <v>4.364354089607418</v>
      </c>
      <c r="N35" s="1">
        <f t="shared" si="1"/>
        <v>0.84418691867126128</v>
      </c>
    </row>
    <row r="36" spans="1:14" x14ac:dyDescent="0.25">
      <c r="A36" s="2" t="s">
        <v>70</v>
      </c>
      <c r="B36" s="2" t="s">
        <v>71</v>
      </c>
      <c r="C36" s="4">
        <v>16.399999999999999</v>
      </c>
      <c r="D36" s="5">
        <v>1838236.51953125</v>
      </c>
      <c r="E36" s="5">
        <v>1127418.25</v>
      </c>
      <c r="F36" s="5">
        <v>1286402.875</v>
      </c>
      <c r="G36" s="3">
        <v>7</v>
      </c>
      <c r="H36" s="3">
        <v>6</v>
      </c>
      <c r="I36" s="3">
        <v>6</v>
      </c>
      <c r="J36" s="6">
        <v>7.4741804467653035</v>
      </c>
      <c r="K36" s="6">
        <v>5.8536779324055672</v>
      </c>
      <c r="L36" s="6">
        <v>5.7778649921507066</v>
      </c>
      <c r="M36" s="8">
        <f t="shared" si="0"/>
        <v>6.3685744571071927</v>
      </c>
      <c r="N36" s="1">
        <f t="shared" si="1"/>
        <v>0.95823293293094691</v>
      </c>
    </row>
    <row r="37" spans="1:14" x14ac:dyDescent="0.25">
      <c r="A37" s="2" t="s">
        <v>72</v>
      </c>
      <c r="B37" s="2" t="s">
        <v>73</v>
      </c>
      <c r="C37" s="4">
        <v>16.2</v>
      </c>
      <c r="D37" s="5">
        <v>4881176.59375</v>
      </c>
      <c r="E37" s="5">
        <v>4870345.875</v>
      </c>
      <c r="F37" s="5">
        <v>4455730.578125</v>
      </c>
      <c r="G37" s="3">
        <v>12</v>
      </c>
      <c r="H37" s="3">
        <v>14</v>
      </c>
      <c r="I37" s="3">
        <v>16</v>
      </c>
      <c r="J37" s="6">
        <v>12.812880765883376</v>
      </c>
      <c r="K37" s="6">
        <v>13.658581842279656</v>
      </c>
      <c r="L37" s="6">
        <v>15.407639979068552</v>
      </c>
      <c r="M37" s="8">
        <f t="shared" si="0"/>
        <v>13.959700862410529</v>
      </c>
      <c r="N37" s="1">
        <f t="shared" si="1"/>
        <v>1.3233285086537547</v>
      </c>
    </row>
    <row r="38" spans="1:14" x14ac:dyDescent="0.25">
      <c r="A38" s="2" t="s">
        <v>74</v>
      </c>
      <c r="B38" s="2" t="s">
        <v>75</v>
      </c>
      <c r="C38" s="4">
        <v>35.5</v>
      </c>
      <c r="D38" s="5">
        <v>0</v>
      </c>
      <c r="E38" s="5">
        <v>4103526.5625</v>
      </c>
      <c r="F38" s="5">
        <v>932425.375</v>
      </c>
      <c r="G38" s="3"/>
      <c r="H38" s="3">
        <v>10</v>
      </c>
      <c r="I38" s="3">
        <v>9</v>
      </c>
      <c r="J38" s="6" t="s">
        <v>986</v>
      </c>
      <c r="K38" s="6">
        <v>9.7561298873426114</v>
      </c>
      <c r="L38" s="6">
        <v>8.6667974882260594</v>
      </c>
      <c r="M38" s="8">
        <f t="shared" si="0"/>
        <v>9.2114636877843346</v>
      </c>
      <c r="N38" s="1">
        <f t="shared" si="1"/>
        <v>0.7702743263815246</v>
      </c>
    </row>
    <row r="39" spans="1:14" x14ac:dyDescent="0.25">
      <c r="A39" s="2" t="s">
        <v>76</v>
      </c>
      <c r="B39" s="2" t="s">
        <v>77</v>
      </c>
      <c r="C39" s="4">
        <v>28.4</v>
      </c>
      <c r="D39" s="5">
        <v>63883416.6875</v>
      </c>
      <c r="E39" s="5">
        <v>149632212.59375</v>
      </c>
      <c r="F39" s="5">
        <v>179554533.34375</v>
      </c>
      <c r="G39" s="3">
        <v>43</v>
      </c>
      <c r="H39" s="3">
        <v>46</v>
      </c>
      <c r="I39" s="3">
        <v>57</v>
      </c>
      <c r="J39" s="6">
        <v>45.912822744415436</v>
      </c>
      <c r="K39" s="6">
        <v>44.878197481776013</v>
      </c>
      <c r="L39" s="6">
        <v>54.889717425431712</v>
      </c>
      <c r="M39" s="8">
        <f t="shared" si="0"/>
        <v>48.560245883874387</v>
      </c>
      <c r="N39" s="1">
        <f t="shared" si="1"/>
        <v>5.5058396139972121</v>
      </c>
    </row>
    <row r="40" spans="1:14" x14ac:dyDescent="0.25">
      <c r="A40" s="2" t="s">
        <v>78</v>
      </c>
      <c r="B40" s="2" t="s">
        <v>79</v>
      </c>
      <c r="C40" s="4">
        <v>15.5</v>
      </c>
      <c r="D40" s="5">
        <v>165820.65625</v>
      </c>
      <c r="E40" s="5">
        <v>151289.078125</v>
      </c>
      <c r="F40" s="5">
        <v>297973.453125</v>
      </c>
      <c r="G40" s="3">
        <v>3</v>
      </c>
      <c r="H40" s="3">
        <v>3</v>
      </c>
      <c r="I40" s="3">
        <v>4</v>
      </c>
      <c r="J40" s="6">
        <v>3.203220191470844</v>
      </c>
      <c r="K40" s="6">
        <v>2.9268389662027836</v>
      </c>
      <c r="L40" s="6">
        <v>3.851909994767138</v>
      </c>
      <c r="M40" s="8">
        <f t="shared" si="0"/>
        <v>3.3273230508135883</v>
      </c>
      <c r="N40" s="1">
        <f t="shared" si="1"/>
        <v>0.47485812801832056</v>
      </c>
    </row>
    <row r="41" spans="1:14" x14ac:dyDescent="0.25">
      <c r="A41" s="2" t="s">
        <v>80</v>
      </c>
      <c r="B41" s="2" t="s">
        <v>81</v>
      </c>
      <c r="C41" s="4">
        <v>23.8</v>
      </c>
      <c r="D41" s="5">
        <v>2619298.5</v>
      </c>
      <c r="E41" s="5">
        <v>2249855</v>
      </c>
      <c r="F41" s="5">
        <v>2175048.3125</v>
      </c>
      <c r="G41" s="3">
        <v>27</v>
      </c>
      <c r="H41" s="3">
        <v>22</v>
      </c>
      <c r="I41" s="3">
        <v>20</v>
      </c>
      <c r="J41" s="6">
        <v>28.828981723237597</v>
      </c>
      <c r="K41" s="6">
        <v>21.463485752153744</v>
      </c>
      <c r="L41" s="6">
        <v>19.259549973835689</v>
      </c>
      <c r="M41" s="8">
        <f t="shared" si="0"/>
        <v>23.184005816409012</v>
      </c>
      <c r="N41" s="1">
        <f t="shared" si="1"/>
        <v>5.0113519104373268</v>
      </c>
    </row>
    <row r="42" spans="1:14" x14ac:dyDescent="0.25">
      <c r="A42" s="2" t="s">
        <v>82</v>
      </c>
      <c r="B42" s="2" t="s">
        <v>83</v>
      </c>
      <c r="C42" s="4">
        <v>25.7</v>
      </c>
      <c r="D42" s="5">
        <v>2521291.6875</v>
      </c>
      <c r="E42" s="5">
        <v>2562603.75</v>
      </c>
      <c r="F42" s="5">
        <v>1715911.40625</v>
      </c>
      <c r="G42" s="3">
        <v>44</v>
      </c>
      <c r="H42" s="3">
        <v>54</v>
      </c>
      <c r="I42" s="3">
        <v>63</v>
      </c>
      <c r="J42" s="6">
        <v>46.98056280823905</v>
      </c>
      <c r="K42" s="6">
        <v>52.683101391650098</v>
      </c>
      <c r="L42" s="6">
        <v>60.667582417582416</v>
      </c>
      <c r="M42" s="8">
        <f t="shared" si="0"/>
        <v>53.443748872490524</v>
      </c>
      <c r="N42" s="1">
        <f t="shared" si="1"/>
        <v>6.8751410814047373</v>
      </c>
    </row>
    <row r="43" spans="1:14" x14ac:dyDescent="0.25">
      <c r="A43" s="2" t="s">
        <v>84</v>
      </c>
      <c r="B43" s="2" t="s">
        <v>85</v>
      </c>
      <c r="C43" s="4">
        <v>47.6</v>
      </c>
      <c r="D43" s="5">
        <v>1690028.1875</v>
      </c>
      <c r="E43" s="5">
        <v>1769808.859375</v>
      </c>
      <c r="F43" s="5">
        <v>2151783.28125</v>
      </c>
      <c r="G43" s="3">
        <v>9</v>
      </c>
      <c r="H43" s="3">
        <v>13</v>
      </c>
      <c r="I43" s="3">
        <v>13</v>
      </c>
      <c r="J43" s="6">
        <v>9.6096605744125334</v>
      </c>
      <c r="K43" s="6">
        <v>12.682968853545393</v>
      </c>
      <c r="L43" s="6">
        <v>12.518707482993197</v>
      </c>
      <c r="M43" s="8">
        <f t="shared" si="0"/>
        <v>11.603778970317043</v>
      </c>
      <c r="N43" s="1">
        <f t="shared" si="1"/>
        <v>1.7289090728339227</v>
      </c>
    </row>
    <row r="44" spans="1:14" x14ac:dyDescent="0.25">
      <c r="A44" s="2" t="s">
        <v>86</v>
      </c>
      <c r="B44" s="2" t="s">
        <v>87</v>
      </c>
      <c r="C44" s="4">
        <v>37</v>
      </c>
      <c r="D44" s="5">
        <v>27400232.875</v>
      </c>
      <c r="E44" s="5">
        <v>16087475.078125</v>
      </c>
      <c r="F44" s="5">
        <v>19650257.234375</v>
      </c>
      <c r="G44" s="3">
        <v>49</v>
      </c>
      <c r="H44" s="3">
        <v>65</v>
      </c>
      <c r="I44" s="3">
        <v>54</v>
      </c>
      <c r="J44" s="6">
        <v>52.319263127357125</v>
      </c>
      <c r="K44" s="6">
        <v>63.414844267726977</v>
      </c>
      <c r="L44" s="6">
        <v>52.000784929356357</v>
      </c>
      <c r="M44" s="8">
        <f t="shared" si="0"/>
        <v>55.911630774813489</v>
      </c>
      <c r="N44" s="1">
        <f t="shared" si="1"/>
        <v>6.4999243557775159</v>
      </c>
    </row>
    <row r="45" spans="1:14" x14ac:dyDescent="0.25">
      <c r="A45" s="2" t="s">
        <v>88</v>
      </c>
      <c r="B45" s="2" t="s">
        <v>89</v>
      </c>
      <c r="C45" s="4">
        <v>41.7</v>
      </c>
      <c r="D45" s="5">
        <v>3391659.75</v>
      </c>
      <c r="E45" s="5">
        <v>4463954</v>
      </c>
      <c r="F45" s="5">
        <v>286314877.390625</v>
      </c>
      <c r="G45" s="3">
        <v>24</v>
      </c>
      <c r="H45" s="3">
        <v>34</v>
      </c>
      <c r="I45" s="3">
        <v>27</v>
      </c>
      <c r="J45" s="6">
        <v>25.625761531766752</v>
      </c>
      <c r="K45" s="6">
        <v>33.170841616964879</v>
      </c>
      <c r="L45" s="6">
        <v>26.000392464678178</v>
      </c>
      <c r="M45" s="8">
        <f t="shared" si="0"/>
        <v>28.26566520446994</v>
      </c>
      <c r="N45" s="1">
        <f t="shared" si="1"/>
        <v>4.2521352062517757</v>
      </c>
    </row>
    <row r="46" spans="1:14" x14ac:dyDescent="0.25">
      <c r="A46" s="2" t="s">
        <v>90</v>
      </c>
      <c r="B46" s="2" t="s">
        <v>91</v>
      </c>
      <c r="C46" s="4">
        <v>31.9</v>
      </c>
      <c r="D46" s="5">
        <v>710493.59375</v>
      </c>
      <c r="E46" s="5">
        <v>578421.96875</v>
      </c>
      <c r="F46" s="5">
        <v>988444.671875</v>
      </c>
      <c r="G46" s="3">
        <v>3</v>
      </c>
      <c r="H46" s="3">
        <v>3</v>
      </c>
      <c r="I46" s="3">
        <v>5</v>
      </c>
      <c r="J46" s="6">
        <v>3.203220191470844</v>
      </c>
      <c r="K46" s="6">
        <v>2.9268389662027836</v>
      </c>
      <c r="L46" s="6">
        <v>4.8148874934589223</v>
      </c>
      <c r="M46" s="8">
        <f t="shared" si="0"/>
        <v>3.6483155503775166</v>
      </c>
      <c r="N46" s="1">
        <f t="shared" si="1"/>
        <v>1.0196882951219504</v>
      </c>
    </row>
    <row r="47" spans="1:14" x14ac:dyDescent="0.25">
      <c r="A47" s="2" t="s">
        <v>92</v>
      </c>
      <c r="B47" s="2" t="s">
        <v>93</v>
      </c>
      <c r="C47" s="4">
        <v>74.5</v>
      </c>
      <c r="D47" s="5">
        <v>772618.375</v>
      </c>
      <c r="E47" s="5">
        <v>703379.5625</v>
      </c>
      <c r="F47" s="5">
        <v>1089562.75</v>
      </c>
      <c r="G47" s="3">
        <v>9</v>
      </c>
      <c r="H47" s="3">
        <v>9</v>
      </c>
      <c r="I47" s="3">
        <v>6</v>
      </c>
      <c r="J47" s="6">
        <v>9.6096605744125334</v>
      </c>
      <c r="K47" s="6">
        <v>8.7805168986083508</v>
      </c>
      <c r="L47" s="6">
        <v>5.7778649921507066</v>
      </c>
      <c r="M47" s="8">
        <f t="shared" si="0"/>
        <v>8.0560141550571966</v>
      </c>
      <c r="N47" s="1">
        <f t="shared" si="1"/>
        <v>2.0160214570088684</v>
      </c>
    </row>
    <row r="48" spans="1:14" x14ac:dyDescent="0.25">
      <c r="A48" s="2" t="s">
        <v>94</v>
      </c>
      <c r="B48" s="2" t="s">
        <v>95</v>
      </c>
      <c r="C48" s="4">
        <v>38.9</v>
      </c>
      <c r="D48" s="5">
        <v>1350924.65625</v>
      </c>
      <c r="E48" s="5">
        <v>1094711.0625</v>
      </c>
      <c r="F48" s="5">
        <v>1299996.0625</v>
      </c>
      <c r="G48" s="3">
        <v>8</v>
      </c>
      <c r="H48" s="3">
        <v>7</v>
      </c>
      <c r="I48" s="3">
        <v>7</v>
      </c>
      <c r="J48" s="6">
        <v>8.541920510588918</v>
      </c>
      <c r="K48" s="6">
        <v>6.8292909211398278</v>
      </c>
      <c r="L48" s="6">
        <v>6.7408424908424909</v>
      </c>
      <c r="M48" s="8">
        <f t="shared" si="0"/>
        <v>7.3706846408570783</v>
      </c>
      <c r="N48" s="1">
        <f t="shared" si="1"/>
        <v>1.0152836441681705</v>
      </c>
    </row>
    <row r="49" spans="1:14" x14ac:dyDescent="0.25">
      <c r="A49" s="2" t="s">
        <v>96</v>
      </c>
      <c r="B49" s="2" t="s">
        <v>97</v>
      </c>
      <c r="C49" s="4">
        <v>21</v>
      </c>
      <c r="D49" s="5">
        <v>172701.671875</v>
      </c>
      <c r="E49" s="5">
        <v>225555.53125</v>
      </c>
      <c r="F49" s="5">
        <v>203470.09375</v>
      </c>
      <c r="G49" s="3">
        <v>8</v>
      </c>
      <c r="H49" s="3">
        <v>7</v>
      </c>
      <c r="I49" s="3">
        <v>8</v>
      </c>
      <c r="J49" s="6">
        <v>8.541920510588918</v>
      </c>
      <c r="K49" s="6">
        <v>6.8292909211398278</v>
      </c>
      <c r="L49" s="6">
        <v>7.703819989534276</v>
      </c>
      <c r="M49" s="8">
        <f t="shared" si="0"/>
        <v>7.6916771404210067</v>
      </c>
      <c r="N49" s="1">
        <f t="shared" si="1"/>
        <v>0.85637936351396304</v>
      </c>
    </row>
    <row r="50" spans="1:14" x14ac:dyDescent="0.25">
      <c r="A50" s="2" t="s">
        <v>98</v>
      </c>
      <c r="B50" s="2" t="s">
        <v>99</v>
      </c>
      <c r="C50" s="4">
        <v>25.3</v>
      </c>
      <c r="D50" s="5">
        <v>6608645.25</v>
      </c>
      <c r="E50" s="5">
        <v>6407209.75</v>
      </c>
      <c r="F50" s="5">
        <v>5041058.25</v>
      </c>
      <c r="G50" s="3">
        <v>29</v>
      </c>
      <c r="H50" s="3">
        <v>24</v>
      </c>
      <c r="I50" s="3">
        <v>24</v>
      </c>
      <c r="J50" s="6">
        <v>30.964461850884827</v>
      </c>
      <c r="K50" s="6">
        <v>23.414711729622269</v>
      </c>
      <c r="L50" s="6">
        <v>23.111459968602826</v>
      </c>
      <c r="M50" s="8">
        <f t="shared" si="0"/>
        <v>25.830211183036642</v>
      </c>
      <c r="N50" s="1">
        <f t="shared" si="1"/>
        <v>4.4489760448742333</v>
      </c>
    </row>
    <row r="51" spans="1:14" x14ac:dyDescent="0.25">
      <c r="A51" s="2" t="s">
        <v>100</v>
      </c>
      <c r="B51" s="2" t="s">
        <v>101</v>
      </c>
      <c r="C51" s="4">
        <v>21.4</v>
      </c>
      <c r="D51" s="5">
        <v>3781806.9375</v>
      </c>
      <c r="E51" s="5">
        <v>1986386.25</v>
      </c>
      <c r="F51" s="5">
        <v>3013194.34375</v>
      </c>
      <c r="G51" s="3">
        <v>33</v>
      </c>
      <c r="H51" s="3">
        <v>38</v>
      </c>
      <c r="I51" s="3">
        <v>39</v>
      </c>
      <c r="J51" s="6">
        <v>35.235422106179286</v>
      </c>
      <c r="K51" s="6">
        <v>37.073293571901921</v>
      </c>
      <c r="L51" s="6">
        <v>37.556122448979586</v>
      </c>
      <c r="M51" s="8">
        <f t="shared" si="0"/>
        <v>36.621612709020262</v>
      </c>
      <c r="N51" s="1">
        <f t="shared" si="1"/>
        <v>1.2245097883187772</v>
      </c>
    </row>
    <row r="52" spans="1:14" x14ac:dyDescent="0.25">
      <c r="A52" s="2" t="s">
        <v>102</v>
      </c>
      <c r="B52" s="2" t="s">
        <v>103</v>
      </c>
      <c r="C52" s="4">
        <v>122.8</v>
      </c>
      <c r="D52" s="5">
        <v>1409600</v>
      </c>
      <c r="E52" s="5">
        <v>1091184.015625</v>
      </c>
      <c r="F52" s="5">
        <v>1151362.203125</v>
      </c>
      <c r="G52" s="3">
        <v>17</v>
      </c>
      <c r="H52" s="3">
        <v>17</v>
      </c>
      <c r="I52" s="3">
        <v>19</v>
      </c>
      <c r="J52" s="6">
        <v>18.15158108500145</v>
      </c>
      <c r="K52" s="6">
        <v>16.585420808482439</v>
      </c>
      <c r="L52" s="6">
        <v>18.296572475143904</v>
      </c>
      <c r="M52" s="8">
        <f t="shared" si="0"/>
        <v>17.677858122875932</v>
      </c>
      <c r="N52" s="1">
        <f t="shared" si="1"/>
        <v>0.94885198540831905</v>
      </c>
    </row>
    <row r="53" spans="1:14" x14ac:dyDescent="0.25">
      <c r="A53" s="2" t="s">
        <v>104</v>
      </c>
      <c r="B53" s="2" t="s">
        <v>105</v>
      </c>
      <c r="C53" s="4">
        <v>93.1</v>
      </c>
      <c r="D53" s="5">
        <v>0</v>
      </c>
      <c r="E53" s="5">
        <v>937294.8125</v>
      </c>
      <c r="F53" s="5">
        <v>796552.3125</v>
      </c>
      <c r="G53" s="3">
        <v>19</v>
      </c>
      <c r="H53" s="3">
        <v>15</v>
      </c>
      <c r="I53" s="3">
        <v>17</v>
      </c>
      <c r="J53" s="6">
        <v>20.287061212648677</v>
      </c>
      <c r="K53" s="6">
        <v>14.634194831013914</v>
      </c>
      <c r="L53" s="6">
        <v>16.370617477760334</v>
      </c>
      <c r="M53" s="8">
        <f t="shared" si="0"/>
        <v>17.097291173807644</v>
      </c>
      <c r="N53" s="1">
        <f t="shared" si="1"/>
        <v>2.8956459689591423</v>
      </c>
    </row>
    <row r="54" spans="1:14" x14ac:dyDescent="0.25">
      <c r="A54" s="2" t="s">
        <v>106</v>
      </c>
      <c r="B54" s="2" t="s">
        <v>107</v>
      </c>
      <c r="C54" s="4">
        <v>21.1</v>
      </c>
      <c r="D54" s="5">
        <v>120208.6796875</v>
      </c>
      <c r="E54" s="5">
        <v>116737.8828125</v>
      </c>
      <c r="F54" s="5">
        <v>151117.765625</v>
      </c>
      <c r="G54" s="3">
        <v>7</v>
      </c>
      <c r="H54" s="3">
        <v>8</v>
      </c>
      <c r="I54" s="3">
        <v>8</v>
      </c>
      <c r="J54" s="6">
        <v>7.4741804467653035</v>
      </c>
      <c r="K54" s="6">
        <v>7.8049039098740884</v>
      </c>
      <c r="L54" s="6">
        <v>7.703819989534276</v>
      </c>
      <c r="M54" s="8">
        <f t="shared" si="0"/>
        <v>7.6609681153912232</v>
      </c>
      <c r="N54" s="1">
        <f t="shared" si="1"/>
        <v>0.16947481996109637</v>
      </c>
    </row>
    <row r="55" spans="1:14" x14ac:dyDescent="0.25">
      <c r="A55" s="2" t="s">
        <v>108</v>
      </c>
      <c r="B55" s="2" t="s">
        <v>109</v>
      </c>
      <c r="C55" s="4">
        <v>38.299999999999997</v>
      </c>
      <c r="D55" s="5">
        <v>0</v>
      </c>
      <c r="E55" s="5">
        <v>526568.2578125</v>
      </c>
      <c r="F55" s="5">
        <v>0</v>
      </c>
      <c r="G55" s="3"/>
      <c r="H55" s="3">
        <v>4</v>
      </c>
      <c r="I55" s="3"/>
      <c r="J55" s="6" t="s">
        <v>986</v>
      </c>
      <c r="K55" s="6">
        <v>3.9024519549370442</v>
      </c>
      <c r="L55" s="6" t="s">
        <v>986</v>
      </c>
      <c r="M55" s="8">
        <f t="shared" si="0"/>
        <v>3.9024519549370442</v>
      </c>
      <c r="N55" s="1" t="e">
        <f t="shared" si="1"/>
        <v>#DIV/0!</v>
      </c>
    </row>
    <row r="56" spans="1:14" x14ac:dyDescent="0.25">
      <c r="A56" s="2" t="s">
        <v>110</v>
      </c>
      <c r="B56" s="2" t="s">
        <v>111</v>
      </c>
      <c r="C56" s="4">
        <v>67.2</v>
      </c>
      <c r="D56" s="5">
        <v>7095069.5234375</v>
      </c>
      <c r="E56" s="5">
        <v>7660007.203125</v>
      </c>
      <c r="F56" s="5">
        <v>10454592.359375</v>
      </c>
      <c r="G56" s="3">
        <v>12</v>
      </c>
      <c r="H56" s="3">
        <v>13</v>
      </c>
      <c r="I56" s="3">
        <v>16</v>
      </c>
      <c r="J56" s="6">
        <v>12.812880765883376</v>
      </c>
      <c r="K56" s="6">
        <v>12.682968853545393</v>
      </c>
      <c r="L56" s="6">
        <v>15.407639979068552</v>
      </c>
      <c r="M56" s="8">
        <f t="shared" si="0"/>
        <v>13.634496532832438</v>
      </c>
      <c r="N56" s="1">
        <f t="shared" si="1"/>
        <v>1.5369604864600077</v>
      </c>
    </row>
    <row r="57" spans="1:14" x14ac:dyDescent="0.25">
      <c r="A57" s="2" t="s">
        <v>112</v>
      </c>
      <c r="B57" s="2" t="s">
        <v>113</v>
      </c>
      <c r="C57" s="4">
        <v>66.599999999999994</v>
      </c>
      <c r="D57" s="5">
        <v>1108047.84375</v>
      </c>
      <c r="E57" s="5">
        <v>641012.8828125</v>
      </c>
      <c r="F57" s="5">
        <v>645081.515625</v>
      </c>
      <c r="G57" s="3">
        <v>5</v>
      </c>
      <c r="H57" s="3">
        <v>7</v>
      </c>
      <c r="I57" s="3">
        <v>4</v>
      </c>
      <c r="J57" s="6">
        <v>5.3387003191180735</v>
      </c>
      <c r="K57" s="6">
        <v>6.8292909211398278</v>
      </c>
      <c r="L57" s="6">
        <v>3.851909994767138</v>
      </c>
      <c r="M57" s="8">
        <f t="shared" si="0"/>
        <v>5.3399670783416795</v>
      </c>
      <c r="N57" s="1">
        <f t="shared" si="1"/>
        <v>1.4886908674036972</v>
      </c>
    </row>
    <row r="58" spans="1:14" x14ac:dyDescent="0.25">
      <c r="A58" s="2" t="s">
        <v>114</v>
      </c>
      <c r="B58" s="2" t="s">
        <v>115</v>
      </c>
      <c r="C58" s="4">
        <v>60.3</v>
      </c>
      <c r="D58" s="5">
        <v>6643765.71875</v>
      </c>
      <c r="E58" s="5">
        <v>166508.875</v>
      </c>
      <c r="F58" s="5">
        <v>0</v>
      </c>
      <c r="G58" s="3">
        <v>17</v>
      </c>
      <c r="H58" s="3">
        <v>18</v>
      </c>
      <c r="I58" s="3"/>
      <c r="J58" s="6">
        <v>18.15158108500145</v>
      </c>
      <c r="K58" s="6">
        <v>17.561033797216702</v>
      </c>
      <c r="L58" s="6" t="s">
        <v>986</v>
      </c>
      <c r="M58" s="8">
        <f t="shared" si="0"/>
        <v>17.856307441109074</v>
      </c>
      <c r="N58" s="1">
        <f t="shared" si="1"/>
        <v>0.41757999180391892</v>
      </c>
    </row>
    <row r="59" spans="1:14" x14ac:dyDescent="0.25">
      <c r="A59" s="2" t="s">
        <v>116</v>
      </c>
      <c r="B59" s="2" t="s">
        <v>117</v>
      </c>
      <c r="C59" s="4">
        <v>39.4</v>
      </c>
      <c r="D59" s="5">
        <v>93164609</v>
      </c>
      <c r="E59" s="5">
        <v>69144734.609375</v>
      </c>
      <c r="F59" s="5">
        <v>85942158.75</v>
      </c>
      <c r="G59" s="3">
        <v>37</v>
      </c>
      <c r="H59" s="3">
        <v>42</v>
      </c>
      <c r="I59" s="3">
        <v>43</v>
      </c>
      <c r="J59" s="6">
        <v>39.506382361473747</v>
      </c>
      <c r="K59" s="6">
        <v>40.975745526838971</v>
      </c>
      <c r="L59" s="6">
        <v>41.408032443746727</v>
      </c>
      <c r="M59" s="8">
        <f t="shared" si="0"/>
        <v>40.630053444019815</v>
      </c>
      <c r="N59" s="1">
        <f t="shared" si="1"/>
        <v>0.99684277644224917</v>
      </c>
    </row>
    <row r="60" spans="1:14" x14ac:dyDescent="0.25">
      <c r="A60" s="2" t="s">
        <v>118</v>
      </c>
      <c r="B60" s="2" t="s">
        <v>119</v>
      </c>
      <c r="C60" s="4">
        <v>34.1</v>
      </c>
      <c r="D60" s="5">
        <v>35231985.609375</v>
      </c>
      <c r="E60" s="5">
        <v>31478623.234375</v>
      </c>
      <c r="F60" s="5">
        <v>38574881.71875</v>
      </c>
      <c r="G60" s="3">
        <v>24</v>
      </c>
      <c r="H60" s="3">
        <v>25</v>
      </c>
      <c r="I60" s="3">
        <v>25</v>
      </c>
      <c r="J60" s="6">
        <v>25.625761531766752</v>
      </c>
      <c r="K60" s="6">
        <v>24.390324718356528</v>
      </c>
      <c r="L60" s="6">
        <v>24.074437467294612</v>
      </c>
      <c r="M60" s="8">
        <f t="shared" si="0"/>
        <v>24.6968412391393</v>
      </c>
      <c r="N60" s="1">
        <f t="shared" si="1"/>
        <v>0.81982673253997462</v>
      </c>
    </row>
    <row r="61" spans="1:14" x14ac:dyDescent="0.25">
      <c r="A61" s="2" t="s">
        <v>120</v>
      </c>
      <c r="B61" s="2" t="s">
        <v>121</v>
      </c>
      <c r="C61" s="4">
        <v>64.2</v>
      </c>
      <c r="D61" s="5">
        <v>848972.8125</v>
      </c>
      <c r="E61" s="5">
        <v>533265.453125</v>
      </c>
      <c r="F61" s="5">
        <v>566236.75</v>
      </c>
      <c r="G61" s="3">
        <v>3</v>
      </c>
      <c r="H61" s="3">
        <v>4</v>
      </c>
      <c r="I61" s="3">
        <v>4</v>
      </c>
      <c r="J61" s="6">
        <v>3.203220191470844</v>
      </c>
      <c r="K61" s="6">
        <v>3.9024519549370442</v>
      </c>
      <c r="L61" s="6">
        <v>3.851909994767138</v>
      </c>
      <c r="M61" s="8">
        <f t="shared" si="0"/>
        <v>3.652527380391676</v>
      </c>
      <c r="N61" s="1">
        <f t="shared" si="1"/>
        <v>0.38993119257942016</v>
      </c>
    </row>
    <row r="62" spans="1:14" x14ac:dyDescent="0.25">
      <c r="A62" s="2" t="s">
        <v>122</v>
      </c>
      <c r="B62" s="2" t="s">
        <v>123</v>
      </c>
      <c r="C62" s="4">
        <v>40.1</v>
      </c>
      <c r="D62" s="5">
        <v>2218481.1640625</v>
      </c>
      <c r="E62" s="5">
        <v>2874762.359375</v>
      </c>
      <c r="F62" s="5">
        <v>2011628.6875</v>
      </c>
      <c r="G62" s="3">
        <v>10</v>
      </c>
      <c r="H62" s="3">
        <v>11</v>
      </c>
      <c r="I62" s="3">
        <v>10</v>
      </c>
      <c r="J62" s="6">
        <v>10.677400638236147</v>
      </c>
      <c r="K62" s="6">
        <v>10.731742876076872</v>
      </c>
      <c r="L62" s="6">
        <v>9.6297749869178446</v>
      </c>
      <c r="M62" s="8">
        <f t="shared" si="0"/>
        <v>10.346306167076955</v>
      </c>
      <c r="N62" s="1">
        <f t="shared" si="1"/>
        <v>0.62112878600861809</v>
      </c>
    </row>
    <row r="63" spans="1:14" x14ac:dyDescent="0.25">
      <c r="A63" s="2" t="s">
        <v>124</v>
      </c>
      <c r="B63" s="2" t="s">
        <v>125</v>
      </c>
      <c r="C63" s="4">
        <v>23.8</v>
      </c>
      <c r="D63" s="5">
        <v>2186268.875</v>
      </c>
      <c r="E63" s="5">
        <v>4434091.375</v>
      </c>
      <c r="F63" s="5">
        <v>1302439.46875</v>
      </c>
      <c r="G63" s="3">
        <v>27</v>
      </c>
      <c r="H63" s="3">
        <v>25</v>
      </c>
      <c r="I63" s="3">
        <v>20</v>
      </c>
      <c r="J63" s="6">
        <v>28.828981723237597</v>
      </c>
      <c r="K63" s="6">
        <v>24.390324718356528</v>
      </c>
      <c r="L63" s="6">
        <v>19.259549973835689</v>
      </c>
      <c r="M63" s="8">
        <f t="shared" si="0"/>
        <v>24.159618805143271</v>
      </c>
      <c r="N63" s="1">
        <f t="shared" si="1"/>
        <v>4.7888855609012904</v>
      </c>
    </row>
    <row r="64" spans="1:14" x14ac:dyDescent="0.25">
      <c r="A64" s="2" t="s">
        <v>126</v>
      </c>
      <c r="B64" s="2" t="s">
        <v>127</v>
      </c>
      <c r="C64" s="4">
        <v>28.7</v>
      </c>
      <c r="D64" s="5">
        <v>27801904.9375</v>
      </c>
      <c r="E64" s="5">
        <v>16319160.28125</v>
      </c>
      <c r="F64" s="5">
        <v>20953288.75</v>
      </c>
      <c r="G64" s="3">
        <v>26</v>
      </c>
      <c r="H64" s="3">
        <v>36</v>
      </c>
      <c r="I64" s="3">
        <v>39</v>
      </c>
      <c r="J64" s="6">
        <v>27.761241659413983</v>
      </c>
      <c r="K64" s="6">
        <v>35.122067594433403</v>
      </c>
      <c r="L64" s="6">
        <v>37.556122448979586</v>
      </c>
      <c r="M64" s="8">
        <f t="shared" si="0"/>
        <v>33.479810567608986</v>
      </c>
      <c r="N64" s="1">
        <f t="shared" si="1"/>
        <v>5.0997723995357331</v>
      </c>
    </row>
    <row r="65" spans="1:14" x14ac:dyDescent="0.25">
      <c r="A65" s="2" t="s">
        <v>128</v>
      </c>
      <c r="B65" s="2" t="s">
        <v>129</v>
      </c>
      <c r="C65" s="4">
        <v>25.2</v>
      </c>
      <c r="D65" s="5">
        <v>3950223.375</v>
      </c>
      <c r="E65" s="5">
        <v>3416120.3125</v>
      </c>
      <c r="F65" s="5">
        <v>3133608.75</v>
      </c>
      <c r="G65" s="3">
        <v>29</v>
      </c>
      <c r="H65" s="3">
        <v>24</v>
      </c>
      <c r="I65" s="3">
        <v>24</v>
      </c>
      <c r="J65" s="6">
        <v>30.964461850884827</v>
      </c>
      <c r="K65" s="6">
        <v>23.414711729622269</v>
      </c>
      <c r="L65" s="6">
        <v>23.111459968602826</v>
      </c>
      <c r="M65" s="8">
        <f t="shared" si="0"/>
        <v>25.830211183036642</v>
      </c>
      <c r="N65" s="1">
        <f t="shared" si="1"/>
        <v>4.4489760448742333</v>
      </c>
    </row>
    <row r="66" spans="1:14" x14ac:dyDescent="0.25">
      <c r="A66" s="2" t="s">
        <v>130</v>
      </c>
      <c r="B66" s="2" t="s">
        <v>131</v>
      </c>
      <c r="C66" s="4">
        <v>45</v>
      </c>
      <c r="D66" s="5">
        <v>0</v>
      </c>
      <c r="E66" s="5">
        <v>376349.6875</v>
      </c>
      <c r="F66" s="5">
        <v>0</v>
      </c>
      <c r="G66" s="3"/>
      <c r="H66" s="3">
        <v>2</v>
      </c>
      <c r="I66" s="3"/>
      <c r="J66" s="6" t="s">
        <v>986</v>
      </c>
      <c r="K66" s="6">
        <v>1.9512259774685221</v>
      </c>
      <c r="L66" s="6" t="s">
        <v>986</v>
      </c>
      <c r="M66" s="8">
        <f t="shared" si="0"/>
        <v>1.9512259774685221</v>
      </c>
      <c r="N66" s="1" t="e">
        <f t="shared" si="1"/>
        <v>#DIV/0!</v>
      </c>
    </row>
    <row r="67" spans="1:14" x14ac:dyDescent="0.25">
      <c r="A67" s="2" t="s">
        <v>132</v>
      </c>
      <c r="B67" s="2" t="s">
        <v>133</v>
      </c>
      <c r="C67" s="4">
        <v>56.9</v>
      </c>
      <c r="D67" s="5">
        <v>0</v>
      </c>
      <c r="E67" s="5">
        <v>107874.734375</v>
      </c>
      <c r="F67" s="5">
        <v>624415.3125</v>
      </c>
      <c r="G67" s="3"/>
      <c r="H67" s="3">
        <v>2</v>
      </c>
      <c r="I67" s="3">
        <v>4</v>
      </c>
      <c r="J67" s="6" t="s">
        <v>986</v>
      </c>
      <c r="K67" s="6">
        <v>1.9512259774685221</v>
      </c>
      <c r="L67" s="6">
        <v>3.851909994767138</v>
      </c>
      <c r="M67" s="8">
        <f t="shared" si="0"/>
        <v>2.9015679861178301</v>
      </c>
      <c r="N67" s="1">
        <f t="shared" si="1"/>
        <v>1.3439865575247414</v>
      </c>
    </row>
    <row r="68" spans="1:14" x14ac:dyDescent="0.25">
      <c r="A68" s="2" t="s">
        <v>134</v>
      </c>
      <c r="B68" s="2" t="s">
        <v>135</v>
      </c>
      <c r="C68" s="4">
        <v>11</v>
      </c>
      <c r="D68" s="5">
        <v>5688425.1875</v>
      </c>
      <c r="E68" s="5">
        <v>5197683.71875</v>
      </c>
      <c r="F68" s="5">
        <v>4862402.875</v>
      </c>
      <c r="G68" s="3">
        <v>4</v>
      </c>
      <c r="H68" s="3">
        <v>4</v>
      </c>
      <c r="I68" s="3">
        <v>4</v>
      </c>
      <c r="J68" s="6">
        <v>4.270960255294459</v>
      </c>
      <c r="K68" s="6">
        <v>3.9024519549370442</v>
      </c>
      <c r="L68" s="6">
        <v>3.851909994767138</v>
      </c>
      <c r="M68" s="8">
        <f t="shared" ref="M68:M131" si="2">AVERAGE(J68:L68)</f>
        <v>4.0084407349995468</v>
      </c>
      <c r="N68" s="1">
        <f t="shared" ref="N68:N131" si="3">STDEV(J68:L68)</f>
        <v>0.2287487624804932</v>
      </c>
    </row>
    <row r="69" spans="1:14" x14ac:dyDescent="0.25">
      <c r="A69" s="2" t="s">
        <v>136</v>
      </c>
      <c r="B69" s="2" t="s">
        <v>137</v>
      </c>
      <c r="C69" s="4">
        <v>30.8</v>
      </c>
      <c r="D69" s="5">
        <v>4498147.7421875</v>
      </c>
      <c r="E69" s="5">
        <v>4130456.125</v>
      </c>
      <c r="F69" s="5">
        <v>10136614.5625</v>
      </c>
      <c r="G69" s="3">
        <v>40</v>
      </c>
      <c r="H69" s="3">
        <v>44</v>
      </c>
      <c r="I69" s="3">
        <v>40</v>
      </c>
      <c r="J69" s="6">
        <v>42.709602552944588</v>
      </c>
      <c r="K69" s="6">
        <v>42.926971504307488</v>
      </c>
      <c r="L69" s="6">
        <v>38.519099947671378</v>
      </c>
      <c r="M69" s="8">
        <f t="shared" si="2"/>
        <v>41.385224668307821</v>
      </c>
      <c r="N69" s="1">
        <f t="shared" si="3"/>
        <v>2.4845151440344724</v>
      </c>
    </row>
    <row r="70" spans="1:14" x14ac:dyDescent="0.25">
      <c r="A70" s="2" t="s">
        <v>138</v>
      </c>
      <c r="B70" s="2" t="s">
        <v>139</v>
      </c>
      <c r="C70" s="4">
        <v>29.9</v>
      </c>
      <c r="D70" s="5">
        <v>0</v>
      </c>
      <c r="E70" s="5">
        <v>0</v>
      </c>
      <c r="F70" s="5">
        <v>2016240.625</v>
      </c>
      <c r="G70" s="3"/>
      <c r="H70" s="3">
        <v>57</v>
      </c>
      <c r="I70" s="3">
        <v>64</v>
      </c>
      <c r="J70" s="6" t="s">
        <v>986</v>
      </c>
      <c r="K70" s="6">
        <v>55.609940357852878</v>
      </c>
      <c r="L70" s="6">
        <v>61.630559916274208</v>
      </c>
      <c r="M70" s="8">
        <f t="shared" si="2"/>
        <v>58.620250137063543</v>
      </c>
      <c r="N70" s="1">
        <f t="shared" si="3"/>
        <v>4.25722091670408</v>
      </c>
    </row>
    <row r="71" spans="1:14" x14ac:dyDescent="0.25">
      <c r="A71" s="2" t="s">
        <v>140</v>
      </c>
      <c r="B71" s="2" t="s">
        <v>141</v>
      </c>
      <c r="C71" s="4">
        <v>9.1999999999999993</v>
      </c>
      <c r="D71" s="5">
        <v>13837133.75</v>
      </c>
      <c r="E71" s="5">
        <v>10921664.6875</v>
      </c>
      <c r="F71" s="5">
        <v>14512733.875</v>
      </c>
      <c r="G71" s="3">
        <v>3</v>
      </c>
      <c r="H71" s="3">
        <v>5</v>
      </c>
      <c r="I71" s="3">
        <v>5</v>
      </c>
      <c r="J71" s="6">
        <v>3.203220191470844</v>
      </c>
      <c r="K71" s="6">
        <v>4.8780649436713057</v>
      </c>
      <c r="L71" s="6">
        <v>4.8148874934589223</v>
      </c>
      <c r="M71" s="8">
        <f t="shared" si="2"/>
        <v>4.2987242095336908</v>
      </c>
      <c r="N71" s="1">
        <f t="shared" si="3"/>
        <v>0.94926004748315507</v>
      </c>
    </row>
    <row r="72" spans="1:14" x14ac:dyDescent="0.25">
      <c r="A72" s="2" t="s">
        <v>142</v>
      </c>
      <c r="B72" s="2" t="s">
        <v>143</v>
      </c>
      <c r="C72" s="4">
        <v>21.3</v>
      </c>
      <c r="D72" s="5">
        <v>215741.46875</v>
      </c>
      <c r="E72" s="5">
        <v>342500.4375</v>
      </c>
      <c r="F72" s="5">
        <v>0</v>
      </c>
      <c r="G72" s="3">
        <v>17</v>
      </c>
      <c r="H72" s="3">
        <v>17</v>
      </c>
      <c r="I72" s="3"/>
      <c r="J72" s="6">
        <v>18.15158108500145</v>
      </c>
      <c r="K72" s="6">
        <v>16.585420808482439</v>
      </c>
      <c r="L72" s="6" t="s">
        <v>986</v>
      </c>
      <c r="M72" s="8">
        <f t="shared" si="2"/>
        <v>17.368500946741946</v>
      </c>
      <c r="N72" s="1">
        <f t="shared" si="3"/>
        <v>1.1074425519515905</v>
      </c>
    </row>
    <row r="73" spans="1:14" x14ac:dyDescent="0.25">
      <c r="A73" s="2" t="s">
        <v>144</v>
      </c>
      <c r="B73" s="2" t="s">
        <v>145</v>
      </c>
      <c r="C73" s="4">
        <v>49.3</v>
      </c>
      <c r="D73" s="5">
        <v>0</v>
      </c>
      <c r="E73" s="5">
        <v>3808396.9375</v>
      </c>
      <c r="F73" s="5">
        <v>2773007.875</v>
      </c>
      <c r="G73" s="3"/>
      <c r="H73" s="3">
        <v>20</v>
      </c>
      <c r="I73" s="3">
        <v>19</v>
      </c>
      <c r="J73" s="6" t="s">
        <v>986</v>
      </c>
      <c r="K73" s="6">
        <v>19.512259774685223</v>
      </c>
      <c r="L73" s="6">
        <v>18.296572475143904</v>
      </c>
      <c r="M73" s="8">
        <f t="shared" si="2"/>
        <v>18.904416124914562</v>
      </c>
      <c r="N73" s="1">
        <f t="shared" si="3"/>
        <v>0.85962073330802824</v>
      </c>
    </row>
    <row r="74" spans="1:14" x14ac:dyDescent="0.25">
      <c r="A74" s="2" t="s">
        <v>146</v>
      </c>
      <c r="B74" s="2" t="s">
        <v>147</v>
      </c>
      <c r="C74" s="4">
        <v>110.4</v>
      </c>
      <c r="D74" s="5">
        <v>3316819.0703125</v>
      </c>
      <c r="E74" s="5">
        <v>359562.5</v>
      </c>
      <c r="F74" s="5">
        <v>3603621.6875</v>
      </c>
      <c r="G74" s="3">
        <v>7</v>
      </c>
      <c r="H74" s="3">
        <v>5</v>
      </c>
      <c r="I74" s="3">
        <v>8</v>
      </c>
      <c r="J74" s="6">
        <v>7.4741804467653035</v>
      </c>
      <c r="K74" s="6">
        <v>4.8780649436713057</v>
      </c>
      <c r="L74" s="6">
        <v>7.703819989534276</v>
      </c>
      <c r="M74" s="8">
        <f t="shared" si="2"/>
        <v>6.6853551266569617</v>
      </c>
      <c r="N74" s="1">
        <f t="shared" si="3"/>
        <v>1.5693651372571111</v>
      </c>
    </row>
    <row r="75" spans="1:14" x14ac:dyDescent="0.25">
      <c r="A75" s="2" t="s">
        <v>148</v>
      </c>
      <c r="B75" s="2" t="s">
        <v>149</v>
      </c>
      <c r="C75" s="4">
        <v>18.3</v>
      </c>
      <c r="D75" s="5">
        <v>28992773.625</v>
      </c>
      <c r="E75" s="5">
        <v>26582158.4375</v>
      </c>
      <c r="F75" s="5">
        <v>25924401.625</v>
      </c>
      <c r="G75" s="3">
        <v>21</v>
      </c>
      <c r="H75" s="3">
        <v>22</v>
      </c>
      <c r="I75" s="3">
        <v>22</v>
      </c>
      <c r="J75" s="6">
        <v>22.422541340295911</v>
      </c>
      <c r="K75" s="6">
        <v>21.463485752153744</v>
      </c>
      <c r="L75" s="6">
        <v>21.185504971219256</v>
      </c>
      <c r="M75" s="8">
        <f t="shared" si="2"/>
        <v>21.690510687889638</v>
      </c>
      <c r="N75" s="1">
        <f t="shared" si="3"/>
        <v>0.64901462671422405</v>
      </c>
    </row>
    <row r="76" spans="1:14" x14ac:dyDescent="0.25">
      <c r="A76" s="2" t="s">
        <v>150</v>
      </c>
      <c r="B76" s="2" t="s">
        <v>151</v>
      </c>
      <c r="C76" s="4">
        <v>18.899999999999999</v>
      </c>
      <c r="D76" s="5">
        <v>719124.84375</v>
      </c>
      <c r="E76" s="5">
        <v>604997.890625</v>
      </c>
      <c r="F76" s="5">
        <v>515373.734375</v>
      </c>
      <c r="G76" s="3">
        <v>3</v>
      </c>
      <c r="H76" s="3">
        <v>3</v>
      </c>
      <c r="I76" s="3">
        <v>2</v>
      </c>
      <c r="J76" s="6">
        <v>3.203220191470844</v>
      </c>
      <c r="K76" s="6">
        <v>2.9268389662027836</v>
      </c>
      <c r="L76" s="6">
        <v>1.925954997383569</v>
      </c>
      <c r="M76" s="8">
        <f t="shared" si="2"/>
        <v>2.6853380516857324</v>
      </c>
      <c r="N76" s="1">
        <f t="shared" si="3"/>
        <v>0.67200715233629071</v>
      </c>
    </row>
    <row r="77" spans="1:14" x14ac:dyDescent="0.25">
      <c r="A77" s="2" t="s">
        <v>152</v>
      </c>
      <c r="B77" s="2" t="s">
        <v>153</v>
      </c>
      <c r="C77" s="4">
        <v>53.7</v>
      </c>
      <c r="D77" s="5">
        <v>14759251.78125</v>
      </c>
      <c r="E77" s="5">
        <v>13004895.75</v>
      </c>
      <c r="F77" s="5">
        <v>11133256.828125</v>
      </c>
      <c r="G77" s="3">
        <v>17</v>
      </c>
      <c r="H77" s="3">
        <v>20</v>
      </c>
      <c r="I77" s="3">
        <v>18</v>
      </c>
      <c r="J77" s="6">
        <v>18.15158108500145</v>
      </c>
      <c r="K77" s="6">
        <v>19.512259774685223</v>
      </c>
      <c r="L77" s="6">
        <v>17.333594976452119</v>
      </c>
      <c r="M77" s="8">
        <f t="shared" si="2"/>
        <v>18.332478612046263</v>
      </c>
      <c r="N77" s="1">
        <f t="shared" si="3"/>
        <v>1.1005398730774001</v>
      </c>
    </row>
    <row r="78" spans="1:14" x14ac:dyDescent="0.25">
      <c r="A78" s="2" t="s">
        <v>154</v>
      </c>
      <c r="B78" s="2" t="s">
        <v>155</v>
      </c>
      <c r="C78" s="4">
        <v>27.5</v>
      </c>
      <c r="D78" s="5">
        <v>0</v>
      </c>
      <c r="E78" s="5">
        <v>0</v>
      </c>
      <c r="F78" s="5">
        <v>286610.21875</v>
      </c>
      <c r="G78" s="3">
        <v>11</v>
      </c>
      <c r="H78" s="3">
        <v>17</v>
      </c>
      <c r="I78" s="3">
        <v>10</v>
      </c>
      <c r="J78" s="6">
        <v>11.745140702059762</v>
      </c>
      <c r="K78" s="6">
        <v>16.585420808482439</v>
      </c>
      <c r="L78" s="6">
        <v>9.6297749869178446</v>
      </c>
      <c r="M78" s="8">
        <f t="shared" si="2"/>
        <v>12.653445499153349</v>
      </c>
      <c r="N78" s="1">
        <f t="shared" si="3"/>
        <v>3.5656718023508049</v>
      </c>
    </row>
    <row r="79" spans="1:14" x14ac:dyDescent="0.25">
      <c r="A79" s="2" t="s">
        <v>156</v>
      </c>
      <c r="B79" s="2" t="s">
        <v>157</v>
      </c>
      <c r="C79" s="4">
        <v>15.5</v>
      </c>
      <c r="D79" s="5">
        <v>14526290.875</v>
      </c>
      <c r="E79" s="5">
        <v>17804880.0625</v>
      </c>
      <c r="F79" s="5">
        <v>15313415.125</v>
      </c>
      <c r="G79" s="3">
        <v>17</v>
      </c>
      <c r="H79" s="3">
        <v>18</v>
      </c>
      <c r="I79" s="3">
        <v>16</v>
      </c>
      <c r="J79" s="6">
        <v>18.15158108500145</v>
      </c>
      <c r="K79" s="6">
        <v>17.561033797216702</v>
      </c>
      <c r="L79" s="6">
        <v>15.407639979068552</v>
      </c>
      <c r="M79" s="8">
        <f t="shared" si="2"/>
        <v>17.040084953762232</v>
      </c>
      <c r="N79" s="1">
        <f t="shared" si="3"/>
        <v>1.4442451216221828</v>
      </c>
    </row>
    <row r="80" spans="1:14" x14ac:dyDescent="0.25">
      <c r="A80" s="2" t="s">
        <v>158</v>
      </c>
      <c r="B80" s="2" t="s">
        <v>159</v>
      </c>
      <c r="C80" s="4">
        <v>19.8</v>
      </c>
      <c r="D80" s="5">
        <v>965930.3125</v>
      </c>
      <c r="E80" s="5">
        <v>712529.0625</v>
      </c>
      <c r="F80" s="5">
        <v>975665.3125</v>
      </c>
      <c r="G80" s="3">
        <v>26</v>
      </c>
      <c r="H80" s="3">
        <v>22</v>
      </c>
      <c r="I80" s="3">
        <v>28</v>
      </c>
      <c r="J80" s="6">
        <v>27.761241659413983</v>
      </c>
      <c r="K80" s="6">
        <v>21.463485752153744</v>
      </c>
      <c r="L80" s="6">
        <v>26.963369963369964</v>
      </c>
      <c r="M80" s="8">
        <f t="shared" si="2"/>
        <v>25.396032458312561</v>
      </c>
      <c r="N80" s="1">
        <f t="shared" si="3"/>
        <v>3.4289710567351905</v>
      </c>
    </row>
    <row r="81" spans="1:14" x14ac:dyDescent="0.25">
      <c r="A81" s="2" t="s">
        <v>160</v>
      </c>
      <c r="B81" s="2" t="s">
        <v>161</v>
      </c>
      <c r="C81" s="4">
        <v>34.5</v>
      </c>
      <c r="D81" s="5">
        <v>289734.875</v>
      </c>
      <c r="E81" s="5">
        <v>289555.875</v>
      </c>
      <c r="F81" s="5">
        <v>464128.234375</v>
      </c>
      <c r="G81" s="3">
        <v>2</v>
      </c>
      <c r="H81" s="3">
        <v>3</v>
      </c>
      <c r="I81" s="3">
        <v>5</v>
      </c>
      <c r="J81" s="6">
        <v>2.1354801276472295</v>
      </c>
      <c r="K81" s="6">
        <v>2.9268389662027836</v>
      </c>
      <c r="L81" s="6">
        <v>4.8148874934589223</v>
      </c>
      <c r="M81" s="8">
        <f t="shared" si="2"/>
        <v>3.292402195769645</v>
      </c>
      <c r="N81" s="1">
        <f t="shared" si="3"/>
        <v>1.3766020899664524</v>
      </c>
    </row>
    <row r="82" spans="1:14" x14ac:dyDescent="0.25">
      <c r="A82" s="2" t="s">
        <v>162</v>
      </c>
      <c r="B82" s="2" t="s">
        <v>163</v>
      </c>
      <c r="C82" s="4">
        <v>35.5</v>
      </c>
      <c r="D82" s="5">
        <v>328249.625</v>
      </c>
      <c r="E82" s="5">
        <v>694559.34375</v>
      </c>
      <c r="F82" s="5">
        <v>217225.71875</v>
      </c>
      <c r="G82" s="3">
        <v>6</v>
      </c>
      <c r="H82" s="3">
        <v>7</v>
      </c>
      <c r="I82" s="3">
        <v>3</v>
      </c>
      <c r="J82" s="6">
        <v>6.406440382941688</v>
      </c>
      <c r="K82" s="6">
        <v>6.8292909211398278</v>
      </c>
      <c r="L82" s="6">
        <v>2.8889324960753533</v>
      </c>
      <c r="M82" s="8">
        <f t="shared" si="2"/>
        <v>5.3748879333856223</v>
      </c>
      <c r="N82" s="1">
        <f t="shared" si="3"/>
        <v>2.1632571441308102</v>
      </c>
    </row>
    <row r="83" spans="1:14" x14ac:dyDescent="0.25">
      <c r="A83" s="2" t="s">
        <v>164</v>
      </c>
      <c r="B83" s="2" t="s">
        <v>165</v>
      </c>
      <c r="C83" s="4">
        <v>60.4</v>
      </c>
      <c r="D83" s="5">
        <v>0</v>
      </c>
      <c r="E83" s="5">
        <v>101951.515625</v>
      </c>
      <c r="F83" s="5">
        <v>0</v>
      </c>
      <c r="G83" s="3"/>
      <c r="H83" s="3">
        <v>17</v>
      </c>
      <c r="I83" s="3"/>
      <c r="J83" s="6" t="s">
        <v>986</v>
      </c>
      <c r="K83" s="6">
        <v>16.585420808482439</v>
      </c>
      <c r="L83" s="6" t="s">
        <v>986</v>
      </c>
      <c r="M83" s="8">
        <f t="shared" si="2"/>
        <v>16.585420808482439</v>
      </c>
      <c r="N83" s="1" t="e">
        <f t="shared" si="3"/>
        <v>#DIV/0!</v>
      </c>
    </row>
    <row r="84" spans="1:14" x14ac:dyDescent="0.25">
      <c r="A84" s="2" t="s">
        <v>166</v>
      </c>
      <c r="B84" s="2" t="s">
        <v>167</v>
      </c>
      <c r="C84" s="4">
        <v>29</v>
      </c>
      <c r="D84" s="5">
        <v>24858789.25</v>
      </c>
      <c r="E84" s="5">
        <v>20061673.875</v>
      </c>
      <c r="F84" s="5">
        <v>24612949.125</v>
      </c>
      <c r="G84" s="3">
        <v>15</v>
      </c>
      <c r="H84" s="3">
        <v>20</v>
      </c>
      <c r="I84" s="3">
        <v>26</v>
      </c>
      <c r="J84" s="6">
        <v>16.016100957354219</v>
      </c>
      <c r="K84" s="6">
        <v>19.512259774685223</v>
      </c>
      <c r="L84" s="6">
        <v>25.037414965986393</v>
      </c>
      <c r="M84" s="8">
        <f t="shared" si="2"/>
        <v>20.188591899341947</v>
      </c>
      <c r="N84" s="1">
        <f t="shared" si="3"/>
        <v>4.5485267359572283</v>
      </c>
    </row>
    <row r="85" spans="1:14" x14ac:dyDescent="0.25">
      <c r="A85" s="2" t="s">
        <v>168</v>
      </c>
      <c r="B85" s="2" t="s">
        <v>169</v>
      </c>
      <c r="C85" s="4">
        <v>51.4</v>
      </c>
      <c r="D85" s="5">
        <v>2209674.25</v>
      </c>
      <c r="E85" s="5">
        <v>1540054.375</v>
      </c>
      <c r="F85" s="5">
        <v>1497178.5</v>
      </c>
      <c r="G85" s="3">
        <v>15</v>
      </c>
      <c r="H85" s="3">
        <v>17</v>
      </c>
      <c r="I85" s="3">
        <v>18</v>
      </c>
      <c r="J85" s="6">
        <v>16.016100957354219</v>
      </c>
      <c r="K85" s="6">
        <v>16.585420808482439</v>
      </c>
      <c r="L85" s="6">
        <v>17.333594976452119</v>
      </c>
      <c r="M85" s="8">
        <f t="shared" si="2"/>
        <v>16.645038914096258</v>
      </c>
      <c r="N85" s="1">
        <f t="shared" si="3"/>
        <v>0.66076725212242471</v>
      </c>
    </row>
    <row r="86" spans="1:14" x14ac:dyDescent="0.25">
      <c r="A86" s="2" t="s">
        <v>170</v>
      </c>
      <c r="B86" s="2" t="s">
        <v>171</v>
      </c>
      <c r="C86" s="4">
        <v>68.8</v>
      </c>
      <c r="D86" s="5">
        <v>0</v>
      </c>
      <c r="E86" s="5">
        <v>328494.1875</v>
      </c>
      <c r="F86" s="5">
        <v>0</v>
      </c>
      <c r="G86" s="3"/>
      <c r="H86" s="3">
        <v>4</v>
      </c>
      <c r="I86" s="3"/>
      <c r="J86" s="6" t="s">
        <v>986</v>
      </c>
      <c r="K86" s="6">
        <v>3.9024519549370442</v>
      </c>
      <c r="L86" s="6" t="s">
        <v>986</v>
      </c>
      <c r="M86" s="8">
        <f t="shared" si="2"/>
        <v>3.9024519549370442</v>
      </c>
      <c r="N86" s="1" t="e">
        <f t="shared" si="3"/>
        <v>#DIV/0!</v>
      </c>
    </row>
    <row r="87" spans="1:14" x14ac:dyDescent="0.25">
      <c r="A87" s="2" t="s">
        <v>172</v>
      </c>
      <c r="B87" s="2" t="s">
        <v>173</v>
      </c>
      <c r="C87" s="4">
        <v>45.3</v>
      </c>
      <c r="D87" s="5">
        <v>3671614.5</v>
      </c>
      <c r="E87" s="5">
        <v>2192076.9375</v>
      </c>
      <c r="F87" s="5">
        <v>1951672.625</v>
      </c>
      <c r="G87" s="3">
        <v>13</v>
      </c>
      <c r="H87" s="3">
        <v>8</v>
      </c>
      <c r="I87" s="3">
        <v>8</v>
      </c>
      <c r="J87" s="6">
        <v>13.880620829706992</v>
      </c>
      <c r="K87" s="6">
        <v>7.8049039098740884</v>
      </c>
      <c r="L87" s="6">
        <v>7.703819989534276</v>
      </c>
      <c r="M87" s="8">
        <f t="shared" si="2"/>
        <v>9.7964482430384532</v>
      </c>
      <c r="N87" s="1">
        <f t="shared" si="3"/>
        <v>3.5373583050079764</v>
      </c>
    </row>
    <row r="88" spans="1:14" x14ac:dyDescent="0.25">
      <c r="A88" s="2" t="s">
        <v>174</v>
      </c>
      <c r="B88" s="2" t="s">
        <v>175</v>
      </c>
      <c r="C88" s="4">
        <v>94.2</v>
      </c>
      <c r="D88" s="5">
        <v>0</v>
      </c>
      <c r="E88" s="5">
        <v>0</v>
      </c>
      <c r="F88" s="5">
        <v>0</v>
      </c>
      <c r="G88" s="3"/>
      <c r="H88" s="3">
        <v>2</v>
      </c>
      <c r="I88" s="3"/>
      <c r="J88" s="6" t="s">
        <v>986</v>
      </c>
      <c r="K88" s="6">
        <v>1.9512259774685221</v>
      </c>
      <c r="L88" s="6" t="s">
        <v>986</v>
      </c>
      <c r="M88" s="8">
        <f t="shared" si="2"/>
        <v>1.9512259774685221</v>
      </c>
      <c r="N88" s="1" t="e">
        <f t="shared" si="3"/>
        <v>#DIV/0!</v>
      </c>
    </row>
    <row r="89" spans="1:14" x14ac:dyDescent="0.25">
      <c r="A89" s="2" t="s">
        <v>176</v>
      </c>
      <c r="B89" s="2" t="s">
        <v>177</v>
      </c>
      <c r="C89" s="4">
        <v>29</v>
      </c>
      <c r="D89" s="5">
        <v>632712.6875</v>
      </c>
      <c r="E89" s="5">
        <v>754729.375</v>
      </c>
      <c r="F89" s="5">
        <v>2290013.3125</v>
      </c>
      <c r="G89" s="3">
        <v>6</v>
      </c>
      <c r="H89" s="3">
        <v>3</v>
      </c>
      <c r="I89" s="3">
        <v>8</v>
      </c>
      <c r="J89" s="6">
        <v>6.406440382941688</v>
      </c>
      <c r="K89" s="6">
        <v>2.9268389662027836</v>
      </c>
      <c r="L89" s="6">
        <v>7.703819989534276</v>
      </c>
      <c r="M89" s="8">
        <f t="shared" si="2"/>
        <v>5.6790331128929168</v>
      </c>
      <c r="N89" s="1">
        <f t="shared" si="3"/>
        <v>2.470167590813857</v>
      </c>
    </row>
    <row r="90" spans="1:14" x14ac:dyDescent="0.25">
      <c r="A90" s="2" t="s">
        <v>178</v>
      </c>
      <c r="B90" s="2" t="s">
        <v>179</v>
      </c>
      <c r="C90" s="4">
        <v>58.3</v>
      </c>
      <c r="D90" s="5">
        <v>0</v>
      </c>
      <c r="E90" s="5">
        <v>0</v>
      </c>
      <c r="F90" s="5">
        <v>0</v>
      </c>
      <c r="G90" s="3"/>
      <c r="H90" s="3">
        <v>3</v>
      </c>
      <c r="I90" s="3">
        <v>6</v>
      </c>
      <c r="J90" s="6" t="s">
        <v>986</v>
      </c>
      <c r="K90" s="6">
        <v>2.9268389662027836</v>
      </c>
      <c r="L90" s="6">
        <v>5.7778649921507066</v>
      </c>
      <c r="M90" s="8">
        <f t="shared" si="2"/>
        <v>4.3523519791767455</v>
      </c>
      <c r="N90" s="1">
        <f t="shared" si="3"/>
        <v>2.0159798362871078</v>
      </c>
    </row>
    <row r="91" spans="1:14" x14ac:dyDescent="0.25">
      <c r="A91" s="2" t="s">
        <v>180</v>
      </c>
      <c r="B91" s="2" t="s">
        <v>181</v>
      </c>
      <c r="C91" s="4">
        <v>16.399999999999999</v>
      </c>
      <c r="D91" s="5">
        <v>263879.9140625</v>
      </c>
      <c r="E91" s="5">
        <v>23362023.109375</v>
      </c>
      <c r="F91" s="5">
        <v>919232.25</v>
      </c>
      <c r="G91" s="3">
        <v>9</v>
      </c>
      <c r="H91" s="3">
        <v>14</v>
      </c>
      <c r="I91" s="3">
        <v>18</v>
      </c>
      <c r="J91" s="6">
        <v>9.6096605744125334</v>
      </c>
      <c r="K91" s="6">
        <v>13.658581842279656</v>
      </c>
      <c r="L91" s="6">
        <v>17.333594976452119</v>
      </c>
      <c r="M91" s="8">
        <f t="shared" si="2"/>
        <v>13.53394579771477</v>
      </c>
      <c r="N91" s="1">
        <f t="shared" si="3"/>
        <v>3.8634752839194189</v>
      </c>
    </row>
    <row r="92" spans="1:14" x14ac:dyDescent="0.25">
      <c r="A92" s="2" t="s">
        <v>182</v>
      </c>
      <c r="B92" s="2" t="s">
        <v>183</v>
      </c>
      <c r="C92" s="4">
        <v>53.3</v>
      </c>
      <c r="D92" s="5">
        <v>5525670</v>
      </c>
      <c r="E92" s="5">
        <v>7683257.796875</v>
      </c>
      <c r="F92" s="5">
        <v>6071038.875</v>
      </c>
      <c r="G92" s="3">
        <v>10</v>
      </c>
      <c r="H92" s="3">
        <v>14</v>
      </c>
      <c r="I92" s="3">
        <v>16</v>
      </c>
      <c r="J92" s="6">
        <v>10.677400638236147</v>
      </c>
      <c r="K92" s="6">
        <v>13.658581842279656</v>
      </c>
      <c r="L92" s="6">
        <v>15.407639979068552</v>
      </c>
      <c r="M92" s="8">
        <f t="shared" si="2"/>
        <v>13.247874153194786</v>
      </c>
      <c r="N92" s="1">
        <f t="shared" si="3"/>
        <v>2.391715212937076</v>
      </c>
    </row>
    <row r="93" spans="1:14" x14ac:dyDescent="0.25">
      <c r="A93" s="2" t="s">
        <v>184</v>
      </c>
      <c r="B93" s="2" t="s">
        <v>185</v>
      </c>
      <c r="C93" s="4">
        <v>74.7</v>
      </c>
      <c r="D93" s="5">
        <v>1696490.5</v>
      </c>
      <c r="E93" s="5">
        <v>469122.40625</v>
      </c>
      <c r="F93" s="5">
        <v>0</v>
      </c>
      <c r="G93" s="3">
        <v>5</v>
      </c>
      <c r="H93" s="3">
        <v>3</v>
      </c>
      <c r="I93" s="3"/>
      <c r="J93" s="6">
        <v>5.3387003191180735</v>
      </c>
      <c r="K93" s="6">
        <v>2.9268389662027836</v>
      </c>
      <c r="L93" s="6" t="s">
        <v>986</v>
      </c>
      <c r="M93" s="8">
        <f t="shared" si="2"/>
        <v>4.1327696426604286</v>
      </c>
      <c r="N93" s="1">
        <f t="shared" si="3"/>
        <v>1.7054435179281631</v>
      </c>
    </row>
    <row r="94" spans="1:14" x14ac:dyDescent="0.25">
      <c r="A94" s="2" t="s">
        <v>186</v>
      </c>
      <c r="B94" s="2" t="s">
        <v>187</v>
      </c>
      <c r="C94" s="4">
        <v>12.6</v>
      </c>
      <c r="D94" s="5">
        <v>2322673.15625</v>
      </c>
      <c r="E94" s="5">
        <v>1176383.515625</v>
      </c>
      <c r="F94" s="5">
        <v>1973930.75</v>
      </c>
      <c r="G94" s="3">
        <v>6</v>
      </c>
      <c r="H94" s="3">
        <v>5</v>
      </c>
      <c r="I94" s="3">
        <v>4</v>
      </c>
      <c r="J94" s="6">
        <v>6.406440382941688</v>
      </c>
      <c r="K94" s="6">
        <v>4.8780649436713057</v>
      </c>
      <c r="L94" s="6">
        <v>3.851909994767138</v>
      </c>
      <c r="M94" s="8">
        <f t="shared" si="2"/>
        <v>5.045471773793377</v>
      </c>
      <c r="N94" s="1">
        <f t="shared" si="3"/>
        <v>1.2854669039323603</v>
      </c>
    </row>
    <row r="95" spans="1:14" x14ac:dyDescent="0.25">
      <c r="A95" s="2" t="s">
        <v>188</v>
      </c>
      <c r="B95" s="2" t="s">
        <v>189</v>
      </c>
      <c r="C95" s="4">
        <v>18.5</v>
      </c>
      <c r="D95" s="5">
        <v>5137087</v>
      </c>
      <c r="E95" s="5">
        <v>5604387.5</v>
      </c>
      <c r="F95" s="5">
        <v>6950346.734375</v>
      </c>
      <c r="G95" s="3">
        <v>13</v>
      </c>
      <c r="H95" s="3">
        <v>15</v>
      </c>
      <c r="I95" s="3">
        <v>17</v>
      </c>
      <c r="J95" s="6">
        <v>13.880620829706992</v>
      </c>
      <c r="K95" s="6">
        <v>14.634194831013914</v>
      </c>
      <c r="L95" s="6">
        <v>16.370617477760334</v>
      </c>
      <c r="M95" s="8">
        <f t="shared" si="2"/>
        <v>14.961811046160413</v>
      </c>
      <c r="N95" s="1">
        <f t="shared" si="3"/>
        <v>1.2769182100469112</v>
      </c>
    </row>
    <row r="96" spans="1:14" x14ac:dyDescent="0.25">
      <c r="A96" s="2" t="s">
        <v>190</v>
      </c>
      <c r="B96" s="2" t="s">
        <v>191</v>
      </c>
      <c r="C96" s="4">
        <v>41</v>
      </c>
      <c r="D96" s="5">
        <v>1422565.6875</v>
      </c>
      <c r="E96" s="5">
        <v>1370592.6875</v>
      </c>
      <c r="F96" s="5">
        <v>1293494.71875</v>
      </c>
      <c r="G96" s="3">
        <v>15</v>
      </c>
      <c r="H96" s="3">
        <v>15</v>
      </c>
      <c r="I96" s="3">
        <v>16</v>
      </c>
      <c r="J96" s="6">
        <v>16.016100957354219</v>
      </c>
      <c r="K96" s="6">
        <v>14.634194831013914</v>
      </c>
      <c r="L96" s="6">
        <v>15.407639979068552</v>
      </c>
      <c r="M96" s="8">
        <f t="shared" si="2"/>
        <v>15.352645255812229</v>
      </c>
      <c r="N96" s="1">
        <f t="shared" si="3"/>
        <v>0.69259255713135259</v>
      </c>
    </row>
    <row r="97" spans="1:14" x14ac:dyDescent="0.25">
      <c r="A97" s="2" t="s">
        <v>192</v>
      </c>
      <c r="B97" s="2" t="s">
        <v>193</v>
      </c>
      <c r="C97" s="4">
        <v>31.4</v>
      </c>
      <c r="D97" s="5">
        <v>42457907.5625</v>
      </c>
      <c r="E97" s="5">
        <v>32287519.15625</v>
      </c>
      <c r="F97" s="5">
        <v>47799766.75</v>
      </c>
      <c r="G97" s="3">
        <v>48</v>
      </c>
      <c r="H97" s="3">
        <v>50</v>
      </c>
      <c r="I97" s="3">
        <v>49</v>
      </c>
      <c r="J97" s="6">
        <v>51.251523063533504</v>
      </c>
      <c r="K97" s="6">
        <v>48.780649436713055</v>
      </c>
      <c r="L97" s="6">
        <v>47.185897435897431</v>
      </c>
      <c r="M97" s="8">
        <f t="shared" si="2"/>
        <v>49.072689978714664</v>
      </c>
      <c r="N97" s="1">
        <f t="shared" si="3"/>
        <v>2.0484857077002636</v>
      </c>
    </row>
    <row r="98" spans="1:14" x14ac:dyDescent="0.25">
      <c r="A98" s="2" t="s">
        <v>194</v>
      </c>
      <c r="B98" s="2" t="s">
        <v>195</v>
      </c>
      <c r="C98" s="4">
        <v>28.3</v>
      </c>
      <c r="D98" s="5">
        <v>1031106.25</v>
      </c>
      <c r="E98" s="5">
        <v>276678.65625</v>
      </c>
      <c r="F98" s="5">
        <v>678018.625</v>
      </c>
      <c r="G98" s="3">
        <v>8</v>
      </c>
      <c r="H98" s="3">
        <v>6</v>
      </c>
      <c r="I98" s="3">
        <v>6</v>
      </c>
      <c r="J98" s="6">
        <v>8.541920510588918</v>
      </c>
      <c r="K98" s="6">
        <v>5.8536779324055672</v>
      </c>
      <c r="L98" s="6">
        <v>5.7778649921507066</v>
      </c>
      <c r="M98" s="8">
        <f t="shared" si="2"/>
        <v>6.7244878117150639</v>
      </c>
      <c r="N98" s="1">
        <f t="shared" si="3"/>
        <v>1.5743992859752765</v>
      </c>
    </row>
    <row r="99" spans="1:14" x14ac:dyDescent="0.25">
      <c r="A99" s="2" t="s">
        <v>196</v>
      </c>
      <c r="B99" s="2" t="s">
        <v>197</v>
      </c>
      <c r="C99" s="4">
        <v>18.5</v>
      </c>
      <c r="D99" s="5">
        <v>0</v>
      </c>
      <c r="E99" s="5">
        <v>9412602</v>
      </c>
      <c r="F99" s="5">
        <v>0</v>
      </c>
      <c r="G99" s="3"/>
      <c r="H99" s="3">
        <v>12</v>
      </c>
      <c r="I99" s="3"/>
      <c r="J99" s="6" t="s">
        <v>986</v>
      </c>
      <c r="K99" s="6">
        <v>11.707355864811134</v>
      </c>
      <c r="L99" s="6" t="s">
        <v>986</v>
      </c>
      <c r="M99" s="8">
        <f t="shared" si="2"/>
        <v>11.707355864811134</v>
      </c>
      <c r="N99" s="1" t="e">
        <f t="shared" si="3"/>
        <v>#DIV/0!</v>
      </c>
    </row>
    <row r="100" spans="1:14" x14ac:dyDescent="0.25">
      <c r="A100" s="2" t="s">
        <v>198</v>
      </c>
      <c r="B100" s="2" t="s">
        <v>199</v>
      </c>
      <c r="C100" s="4">
        <v>39.700000000000003</v>
      </c>
      <c r="D100" s="5">
        <v>660299.9375</v>
      </c>
      <c r="E100" s="5">
        <v>1939879.046875</v>
      </c>
      <c r="F100" s="5">
        <v>2146453.578125</v>
      </c>
      <c r="G100" s="3">
        <v>7</v>
      </c>
      <c r="H100" s="3">
        <v>8</v>
      </c>
      <c r="I100" s="3">
        <v>9</v>
      </c>
      <c r="J100" s="6">
        <v>7.4741804467653035</v>
      </c>
      <c r="K100" s="6">
        <v>7.8049039098740884</v>
      </c>
      <c r="L100" s="6">
        <v>8.6667974882260594</v>
      </c>
      <c r="M100" s="8">
        <f t="shared" si="2"/>
        <v>7.9819606149551499</v>
      </c>
      <c r="N100" s="1">
        <f t="shared" si="3"/>
        <v>0.61570744636253438</v>
      </c>
    </row>
    <row r="101" spans="1:14" x14ac:dyDescent="0.25">
      <c r="A101" s="2" t="s">
        <v>200</v>
      </c>
      <c r="B101" s="2" t="s">
        <v>201</v>
      </c>
      <c r="C101" s="4">
        <v>64.599999999999994</v>
      </c>
      <c r="D101" s="5">
        <v>1333871.046875</v>
      </c>
      <c r="E101" s="5">
        <v>4695116.65234375</v>
      </c>
      <c r="F101" s="5">
        <v>0</v>
      </c>
      <c r="G101" s="3">
        <v>6</v>
      </c>
      <c r="H101" s="3">
        <v>9</v>
      </c>
      <c r="I101" s="3"/>
      <c r="J101" s="6">
        <v>6.406440382941688</v>
      </c>
      <c r="K101" s="6">
        <v>8.7805168986083508</v>
      </c>
      <c r="L101" s="6" t="s">
        <v>986</v>
      </c>
      <c r="M101" s="8">
        <f t="shared" si="2"/>
        <v>7.5934786407750199</v>
      </c>
      <c r="N101" s="1">
        <f t="shared" si="3"/>
        <v>1.6787256032836253</v>
      </c>
    </row>
    <row r="102" spans="1:14" x14ac:dyDescent="0.25">
      <c r="A102" s="2" t="s">
        <v>202</v>
      </c>
      <c r="B102" s="2" t="s">
        <v>203</v>
      </c>
      <c r="C102" s="4">
        <v>31.6</v>
      </c>
      <c r="D102" s="5">
        <v>0</v>
      </c>
      <c r="E102" s="5">
        <v>232433.61328125</v>
      </c>
      <c r="F102" s="5">
        <v>277739.625</v>
      </c>
      <c r="G102" s="3"/>
      <c r="H102" s="3">
        <v>2</v>
      </c>
      <c r="I102" s="3">
        <v>3</v>
      </c>
      <c r="J102" s="6" t="s">
        <v>986</v>
      </c>
      <c r="K102" s="6">
        <v>1.9512259774685221</v>
      </c>
      <c r="L102" s="6">
        <v>2.8889324960753533</v>
      </c>
      <c r="M102" s="8">
        <f t="shared" si="2"/>
        <v>2.4200792367719375</v>
      </c>
      <c r="N102" s="1">
        <f t="shared" si="3"/>
        <v>0.66305863806972154</v>
      </c>
    </row>
    <row r="103" spans="1:14" x14ac:dyDescent="0.25">
      <c r="A103" s="2" t="s">
        <v>204</v>
      </c>
      <c r="B103" s="2" t="s">
        <v>205</v>
      </c>
      <c r="C103" s="4">
        <v>26.6</v>
      </c>
      <c r="D103" s="5">
        <v>28986122</v>
      </c>
      <c r="E103" s="5">
        <v>26620755.25</v>
      </c>
      <c r="F103" s="5">
        <v>28443659.875</v>
      </c>
      <c r="G103" s="3">
        <v>31</v>
      </c>
      <c r="H103" s="3">
        <v>35</v>
      </c>
      <c r="I103" s="3">
        <v>45</v>
      </c>
      <c r="J103" s="6">
        <v>33.099941978532058</v>
      </c>
      <c r="K103" s="6">
        <v>34.146454605699141</v>
      </c>
      <c r="L103" s="6">
        <v>43.333987441130304</v>
      </c>
      <c r="M103" s="8">
        <f t="shared" si="2"/>
        <v>36.860128008453835</v>
      </c>
      <c r="N103" s="1">
        <f t="shared" si="3"/>
        <v>5.6308915044818102</v>
      </c>
    </row>
    <row r="104" spans="1:14" x14ac:dyDescent="0.25">
      <c r="A104" s="2" t="s">
        <v>0</v>
      </c>
      <c r="B104" s="2" t="s">
        <v>1</v>
      </c>
      <c r="C104" s="4">
        <v>26</v>
      </c>
      <c r="D104" s="5">
        <v>287629129.125</v>
      </c>
      <c r="E104" s="5">
        <v>1514688.625</v>
      </c>
      <c r="F104" s="5">
        <v>2469839.25</v>
      </c>
      <c r="G104" s="3">
        <v>72</v>
      </c>
      <c r="H104" s="3">
        <v>66</v>
      </c>
      <c r="I104" s="3">
        <v>71</v>
      </c>
      <c r="J104" s="6">
        <v>76.877284595300267</v>
      </c>
      <c r="K104" s="6">
        <v>64.390457256461232</v>
      </c>
      <c r="L104" s="6">
        <v>68.371402407116705</v>
      </c>
      <c r="M104" s="8">
        <f t="shared" si="2"/>
        <v>69.879714752959401</v>
      </c>
      <c r="N104" s="1">
        <f t="shared" si="3"/>
        <v>6.3785945824264934</v>
      </c>
    </row>
    <row r="105" spans="1:14" x14ac:dyDescent="0.25">
      <c r="A105" s="2" t="s">
        <v>206</v>
      </c>
      <c r="B105" s="2" t="s">
        <v>207</v>
      </c>
      <c r="C105" s="4">
        <v>43.1</v>
      </c>
      <c r="D105" s="5">
        <v>14448301.125</v>
      </c>
      <c r="E105" s="5">
        <v>13953992.125</v>
      </c>
      <c r="F105" s="5">
        <v>13372519</v>
      </c>
      <c r="G105" s="3">
        <v>52</v>
      </c>
      <c r="H105" s="3">
        <v>52</v>
      </c>
      <c r="I105" s="3">
        <v>52</v>
      </c>
      <c r="J105" s="6">
        <v>55.522483318827966</v>
      </c>
      <c r="K105" s="6">
        <v>50.731875414181573</v>
      </c>
      <c r="L105" s="6">
        <v>50.074829931972786</v>
      </c>
      <c r="M105" s="8">
        <f t="shared" si="2"/>
        <v>52.109729554994111</v>
      </c>
      <c r="N105" s="1">
        <f t="shared" si="3"/>
        <v>2.9737339122464146</v>
      </c>
    </row>
    <row r="106" spans="1:14" x14ac:dyDescent="0.25">
      <c r="A106" s="2" t="s">
        <v>208</v>
      </c>
      <c r="B106" s="2" t="s">
        <v>209</v>
      </c>
      <c r="C106" s="4">
        <v>26</v>
      </c>
      <c r="D106" s="5">
        <v>0</v>
      </c>
      <c r="E106" s="5">
        <v>2355145.75</v>
      </c>
      <c r="F106" s="5">
        <v>2678810</v>
      </c>
      <c r="G106" s="3"/>
      <c r="H106" s="3">
        <v>68</v>
      </c>
      <c r="I106" s="3">
        <v>72</v>
      </c>
      <c r="J106" s="6" t="s">
        <v>986</v>
      </c>
      <c r="K106" s="6">
        <v>66.341683233929757</v>
      </c>
      <c r="L106" s="6">
        <v>69.334379905808476</v>
      </c>
      <c r="M106" s="8">
        <f t="shared" si="2"/>
        <v>67.838031569869116</v>
      </c>
      <c r="N106" s="1">
        <f t="shared" si="3"/>
        <v>2.1161561107198539</v>
      </c>
    </row>
    <row r="107" spans="1:14" x14ac:dyDescent="0.25">
      <c r="A107" s="2" t="s">
        <v>210</v>
      </c>
      <c r="B107" s="2" t="s">
        <v>211</v>
      </c>
      <c r="C107" s="4">
        <v>93.9</v>
      </c>
      <c r="D107" s="5">
        <v>3132533.53125</v>
      </c>
      <c r="E107" s="5">
        <v>1866701.9140625</v>
      </c>
      <c r="F107" s="5">
        <v>894132.78125</v>
      </c>
      <c r="G107" s="3">
        <v>6</v>
      </c>
      <c r="H107" s="3">
        <v>6</v>
      </c>
      <c r="I107" s="3">
        <v>3</v>
      </c>
      <c r="J107" s="6">
        <v>6.406440382941688</v>
      </c>
      <c r="K107" s="6">
        <v>5.8536779324055672</v>
      </c>
      <c r="L107" s="6">
        <v>2.8889324960753533</v>
      </c>
      <c r="M107" s="8">
        <f t="shared" si="2"/>
        <v>5.0496836038075363</v>
      </c>
      <c r="N107" s="1">
        <f t="shared" si="3"/>
        <v>1.8915656461923454</v>
      </c>
    </row>
    <row r="108" spans="1:14" x14ac:dyDescent="0.25">
      <c r="A108" s="2" t="s">
        <v>212</v>
      </c>
      <c r="B108" s="2" t="s">
        <v>213</v>
      </c>
      <c r="C108" s="4">
        <v>69.8</v>
      </c>
      <c r="D108" s="5">
        <v>2593859.03125</v>
      </c>
      <c r="E108" s="5">
        <v>1066948.875</v>
      </c>
      <c r="F108" s="5">
        <v>645607.6875</v>
      </c>
      <c r="G108" s="3">
        <v>9</v>
      </c>
      <c r="H108" s="3">
        <v>9</v>
      </c>
      <c r="I108" s="3">
        <v>6</v>
      </c>
      <c r="J108" s="6">
        <v>9.6096605744125334</v>
      </c>
      <c r="K108" s="6">
        <v>8.7805168986083508</v>
      </c>
      <c r="L108" s="6">
        <v>5.7778649921507066</v>
      </c>
      <c r="M108" s="8">
        <f t="shared" si="2"/>
        <v>8.0560141550571966</v>
      </c>
      <c r="N108" s="1">
        <f t="shared" si="3"/>
        <v>2.0160214570088684</v>
      </c>
    </row>
    <row r="109" spans="1:14" x14ac:dyDescent="0.25">
      <c r="A109" s="2" t="s">
        <v>214</v>
      </c>
      <c r="B109" s="2" t="s">
        <v>215</v>
      </c>
      <c r="C109" s="4">
        <v>23.4</v>
      </c>
      <c r="D109" s="5">
        <v>12374161.625</v>
      </c>
      <c r="E109" s="5">
        <v>5005382.375</v>
      </c>
      <c r="F109" s="5">
        <v>11605117.28125</v>
      </c>
      <c r="G109" s="3">
        <v>15</v>
      </c>
      <c r="H109" s="3">
        <v>8</v>
      </c>
      <c r="I109" s="3">
        <v>10</v>
      </c>
      <c r="J109" s="6">
        <v>16.016100957354219</v>
      </c>
      <c r="K109" s="6">
        <v>7.8049039098740884</v>
      </c>
      <c r="L109" s="6">
        <v>9.6297749869178446</v>
      </c>
      <c r="M109" s="8">
        <f t="shared" si="2"/>
        <v>11.150259951382049</v>
      </c>
      <c r="N109" s="1">
        <f t="shared" si="3"/>
        <v>4.3115942681922155</v>
      </c>
    </row>
    <row r="110" spans="1:14" x14ac:dyDescent="0.25">
      <c r="A110" s="2" t="s">
        <v>216</v>
      </c>
      <c r="B110" s="2" t="s">
        <v>217</v>
      </c>
      <c r="C110" s="4">
        <v>92.7</v>
      </c>
      <c r="D110" s="5">
        <v>0</v>
      </c>
      <c r="E110" s="5">
        <v>553464.34375</v>
      </c>
      <c r="F110" s="5">
        <v>516238.84375</v>
      </c>
      <c r="G110" s="3"/>
      <c r="H110" s="3">
        <v>38</v>
      </c>
      <c r="I110" s="3">
        <v>33</v>
      </c>
      <c r="J110" s="6" t="s">
        <v>986</v>
      </c>
      <c r="K110" s="6">
        <v>37.073293571901921</v>
      </c>
      <c r="L110" s="6">
        <v>31.778257456828882</v>
      </c>
      <c r="M110" s="8">
        <f t="shared" si="2"/>
        <v>34.425775514365398</v>
      </c>
      <c r="N110" s="1">
        <f t="shared" si="3"/>
        <v>3.7441559435958176</v>
      </c>
    </row>
    <row r="111" spans="1:14" x14ac:dyDescent="0.25">
      <c r="A111" s="2" t="s">
        <v>218</v>
      </c>
      <c r="B111" s="2" t="s">
        <v>219</v>
      </c>
      <c r="C111" s="4">
        <v>143.9</v>
      </c>
      <c r="D111" s="5">
        <v>482490.875</v>
      </c>
      <c r="E111" s="5">
        <v>229188.265625</v>
      </c>
      <c r="F111" s="5">
        <v>501763.75</v>
      </c>
      <c r="G111" s="3">
        <v>3</v>
      </c>
      <c r="H111" s="3">
        <v>2</v>
      </c>
      <c r="I111" s="3">
        <v>2</v>
      </c>
      <c r="J111" s="6">
        <v>3.203220191470844</v>
      </c>
      <c r="K111" s="6">
        <v>1.9512259774685221</v>
      </c>
      <c r="L111" s="6">
        <v>1.925954997383569</v>
      </c>
      <c r="M111" s="8">
        <f t="shared" si="2"/>
        <v>2.3601337221076446</v>
      </c>
      <c r="N111" s="1">
        <f t="shared" si="3"/>
        <v>0.73024362491301043</v>
      </c>
    </row>
    <row r="112" spans="1:14" x14ac:dyDescent="0.25">
      <c r="A112" s="2" t="s">
        <v>220</v>
      </c>
      <c r="B112" s="2" t="s">
        <v>221</v>
      </c>
      <c r="C112" s="4">
        <v>49.8</v>
      </c>
      <c r="D112" s="5">
        <v>247788.78125</v>
      </c>
      <c r="E112" s="5">
        <v>192579.578125</v>
      </c>
      <c r="F112" s="5">
        <v>185036.984375</v>
      </c>
      <c r="G112" s="3">
        <v>5</v>
      </c>
      <c r="H112" s="3">
        <v>7</v>
      </c>
      <c r="I112" s="3">
        <v>9</v>
      </c>
      <c r="J112" s="6">
        <v>5.3387003191180735</v>
      </c>
      <c r="K112" s="6">
        <v>6.8292909211398278</v>
      </c>
      <c r="L112" s="6">
        <v>8.6667974882260594</v>
      </c>
      <c r="M112" s="8">
        <f t="shared" si="2"/>
        <v>6.9449295761613206</v>
      </c>
      <c r="N112" s="1">
        <f t="shared" si="3"/>
        <v>1.6670593617677596</v>
      </c>
    </row>
    <row r="113" spans="1:14" x14ac:dyDescent="0.25">
      <c r="A113" s="2" t="s">
        <v>222</v>
      </c>
      <c r="B113" s="2" t="s">
        <v>223</v>
      </c>
      <c r="C113" s="4">
        <v>27.3</v>
      </c>
      <c r="D113" s="5">
        <v>2659749.4375</v>
      </c>
      <c r="E113" s="5">
        <v>2389369.25</v>
      </c>
      <c r="F113" s="5">
        <v>3001141.5859375</v>
      </c>
      <c r="G113" s="3">
        <v>16</v>
      </c>
      <c r="H113" s="3">
        <v>15</v>
      </c>
      <c r="I113" s="3">
        <v>21</v>
      </c>
      <c r="J113" s="6">
        <v>17.083841021177836</v>
      </c>
      <c r="K113" s="6">
        <v>14.634194831013914</v>
      </c>
      <c r="L113" s="6">
        <v>20.222527472527474</v>
      </c>
      <c r="M113" s="8">
        <f t="shared" si="2"/>
        <v>17.31352110823974</v>
      </c>
      <c r="N113" s="1">
        <f t="shared" si="3"/>
        <v>2.8012372507244296</v>
      </c>
    </row>
    <row r="114" spans="1:14" x14ac:dyDescent="0.25">
      <c r="A114" s="2" t="s">
        <v>224</v>
      </c>
      <c r="B114" s="2" t="s">
        <v>225</v>
      </c>
      <c r="C114" s="4">
        <v>71</v>
      </c>
      <c r="D114" s="5">
        <v>692689.078125</v>
      </c>
      <c r="E114" s="5">
        <v>958601.984375</v>
      </c>
      <c r="F114" s="5">
        <v>0</v>
      </c>
      <c r="G114" s="3">
        <v>4</v>
      </c>
      <c r="H114" s="3">
        <v>6</v>
      </c>
      <c r="I114" s="3"/>
      <c r="J114" s="6">
        <v>4.270960255294459</v>
      </c>
      <c r="K114" s="6">
        <v>5.8536779324055672</v>
      </c>
      <c r="L114" s="6" t="s">
        <v>986</v>
      </c>
      <c r="M114" s="8">
        <f t="shared" si="2"/>
        <v>5.0623190938500127</v>
      </c>
      <c r="N114" s="1">
        <f t="shared" si="3"/>
        <v>1.1191504021890892</v>
      </c>
    </row>
    <row r="115" spans="1:14" x14ac:dyDescent="0.25">
      <c r="A115" s="2" t="s">
        <v>226</v>
      </c>
      <c r="B115" s="2" t="s">
        <v>227</v>
      </c>
      <c r="C115" s="4">
        <v>35.299999999999997</v>
      </c>
      <c r="D115" s="5">
        <v>0</v>
      </c>
      <c r="E115" s="5">
        <v>2481259.5</v>
      </c>
      <c r="F115" s="5">
        <v>0</v>
      </c>
      <c r="G115" s="3"/>
      <c r="H115" s="3">
        <v>4</v>
      </c>
      <c r="I115" s="3"/>
      <c r="J115" s="6" t="s">
        <v>986</v>
      </c>
      <c r="K115" s="6">
        <v>3.9024519549370442</v>
      </c>
      <c r="L115" s="6" t="s">
        <v>986</v>
      </c>
      <c r="M115" s="8">
        <f t="shared" si="2"/>
        <v>3.9024519549370442</v>
      </c>
      <c r="N115" s="1" t="e">
        <f t="shared" si="3"/>
        <v>#DIV/0!</v>
      </c>
    </row>
    <row r="116" spans="1:14" x14ac:dyDescent="0.25">
      <c r="A116" s="2" t="s">
        <v>228</v>
      </c>
      <c r="B116" s="2" t="s">
        <v>229</v>
      </c>
      <c r="C116" s="4">
        <v>70.3</v>
      </c>
      <c r="D116" s="5">
        <v>6777251.515625</v>
      </c>
      <c r="E116" s="5">
        <v>6069932.8671875</v>
      </c>
      <c r="F116" s="5">
        <v>10176007.1875</v>
      </c>
      <c r="G116" s="3">
        <v>25</v>
      </c>
      <c r="H116" s="3">
        <v>30</v>
      </c>
      <c r="I116" s="3">
        <v>27</v>
      </c>
      <c r="J116" s="6">
        <v>26.693501595590369</v>
      </c>
      <c r="K116" s="6">
        <v>29.268389662027829</v>
      </c>
      <c r="L116" s="6">
        <v>26.000392464678178</v>
      </c>
      <c r="M116" s="8">
        <f t="shared" si="2"/>
        <v>27.32076124076546</v>
      </c>
      <c r="N116" s="1">
        <f t="shared" si="3"/>
        <v>1.7219298526131013</v>
      </c>
    </row>
    <row r="117" spans="1:14" x14ac:dyDescent="0.25">
      <c r="A117" s="2" t="s">
        <v>230</v>
      </c>
      <c r="B117" s="2" t="s">
        <v>231</v>
      </c>
      <c r="C117" s="4">
        <v>24.3</v>
      </c>
      <c r="D117" s="5">
        <v>3501286.0546875</v>
      </c>
      <c r="E117" s="5">
        <v>2206297.03125</v>
      </c>
      <c r="F117" s="5">
        <v>6346036.046875</v>
      </c>
      <c r="G117" s="3">
        <v>13</v>
      </c>
      <c r="H117" s="3">
        <v>12</v>
      </c>
      <c r="I117" s="3">
        <v>14</v>
      </c>
      <c r="J117" s="6">
        <v>13.880620829706992</v>
      </c>
      <c r="K117" s="6">
        <v>11.707355864811134</v>
      </c>
      <c r="L117" s="6">
        <v>13.481684981684982</v>
      </c>
      <c r="M117" s="8">
        <f t="shared" si="2"/>
        <v>13.023220558734371</v>
      </c>
      <c r="N117" s="1">
        <f t="shared" si="3"/>
        <v>1.1568977362950132</v>
      </c>
    </row>
    <row r="118" spans="1:14" x14ac:dyDescent="0.25">
      <c r="A118" s="2" t="s">
        <v>232</v>
      </c>
      <c r="B118" s="2" t="s">
        <v>233</v>
      </c>
      <c r="C118" s="4">
        <v>168.8</v>
      </c>
      <c r="D118" s="5">
        <v>848081.15625</v>
      </c>
      <c r="E118" s="5">
        <v>918549.408203125</v>
      </c>
      <c r="F118" s="5">
        <v>531029.8125</v>
      </c>
      <c r="G118" s="3">
        <v>3</v>
      </c>
      <c r="H118" s="3">
        <v>6</v>
      </c>
      <c r="I118" s="3">
        <v>3</v>
      </c>
      <c r="J118" s="6">
        <v>3.203220191470844</v>
      </c>
      <c r="K118" s="6">
        <v>5.8536779324055672</v>
      </c>
      <c r="L118" s="6">
        <v>2.8889324960753533</v>
      </c>
      <c r="M118" s="8">
        <f t="shared" si="2"/>
        <v>3.9819435399839218</v>
      </c>
      <c r="N118" s="1">
        <f t="shared" si="3"/>
        <v>1.6285688243668965</v>
      </c>
    </row>
    <row r="119" spans="1:14" x14ac:dyDescent="0.25">
      <c r="A119" s="2" t="s">
        <v>234</v>
      </c>
      <c r="B119" s="2" t="s">
        <v>235</v>
      </c>
      <c r="C119" s="4">
        <v>102.5</v>
      </c>
      <c r="D119" s="5">
        <v>1370988.3125</v>
      </c>
      <c r="E119" s="5">
        <v>1485863.1875</v>
      </c>
      <c r="F119" s="5">
        <v>1129784.3125</v>
      </c>
      <c r="G119" s="3">
        <v>21</v>
      </c>
      <c r="H119" s="3">
        <v>16</v>
      </c>
      <c r="I119" s="3">
        <v>16</v>
      </c>
      <c r="J119" s="6">
        <v>22.422541340295911</v>
      </c>
      <c r="K119" s="6">
        <v>15.609807819748177</v>
      </c>
      <c r="L119" s="6">
        <v>15.407639979068552</v>
      </c>
      <c r="M119" s="8">
        <f t="shared" si="2"/>
        <v>17.813329713037547</v>
      </c>
      <c r="N119" s="1">
        <f t="shared" si="3"/>
        <v>3.99297405796626</v>
      </c>
    </row>
    <row r="120" spans="1:14" x14ac:dyDescent="0.25">
      <c r="A120" s="2" t="s">
        <v>236</v>
      </c>
      <c r="B120" s="2" t="s">
        <v>237</v>
      </c>
      <c r="C120" s="4">
        <v>33.700000000000003</v>
      </c>
      <c r="D120" s="5">
        <v>327336.53125</v>
      </c>
      <c r="E120" s="5">
        <v>393142.15625</v>
      </c>
      <c r="F120" s="5">
        <v>392033.15625</v>
      </c>
      <c r="G120" s="3">
        <v>3</v>
      </c>
      <c r="H120" s="3">
        <v>4</v>
      </c>
      <c r="I120" s="3">
        <v>2</v>
      </c>
      <c r="J120" s="6">
        <v>3.203220191470844</v>
      </c>
      <c r="K120" s="6">
        <v>3.9024519549370442</v>
      </c>
      <c r="L120" s="6">
        <v>1.925954997383569</v>
      </c>
      <c r="M120" s="8">
        <f t="shared" si="2"/>
        <v>3.0105423812638192</v>
      </c>
      <c r="N120" s="1">
        <f t="shared" si="3"/>
        <v>1.0022368032127766</v>
      </c>
    </row>
    <row r="121" spans="1:14" x14ac:dyDescent="0.25">
      <c r="A121" s="2" t="s">
        <v>238</v>
      </c>
      <c r="B121" s="2" t="s">
        <v>239</v>
      </c>
      <c r="C121" s="4">
        <v>49.8</v>
      </c>
      <c r="D121" s="5">
        <v>22772487.5234375</v>
      </c>
      <c r="E121" s="5">
        <v>22086915.1328125</v>
      </c>
      <c r="F121" s="5">
        <v>13975457.4140625</v>
      </c>
      <c r="G121" s="3">
        <v>8</v>
      </c>
      <c r="H121" s="3">
        <v>9</v>
      </c>
      <c r="I121" s="3">
        <v>9</v>
      </c>
      <c r="J121" s="6">
        <v>8.541920510588918</v>
      </c>
      <c r="K121" s="6">
        <v>8.7805168986083508</v>
      </c>
      <c r="L121" s="6">
        <v>8.6667974882260594</v>
      </c>
      <c r="M121" s="8">
        <f t="shared" si="2"/>
        <v>8.6630782991411106</v>
      </c>
      <c r="N121" s="1">
        <f t="shared" si="3"/>
        <v>0.11934166652752569</v>
      </c>
    </row>
    <row r="122" spans="1:14" x14ac:dyDescent="0.25">
      <c r="A122" s="2" t="s">
        <v>240</v>
      </c>
      <c r="B122" s="2" t="s">
        <v>241</v>
      </c>
      <c r="C122" s="4">
        <v>16</v>
      </c>
      <c r="D122" s="5">
        <v>4273190.8125</v>
      </c>
      <c r="E122" s="5">
        <v>5509238.5</v>
      </c>
      <c r="F122" s="5">
        <v>6012249.5</v>
      </c>
      <c r="G122" s="3">
        <v>18</v>
      </c>
      <c r="H122" s="3">
        <v>12</v>
      </c>
      <c r="I122" s="3">
        <v>11</v>
      </c>
      <c r="J122" s="6">
        <v>19.219321148825067</v>
      </c>
      <c r="K122" s="6">
        <v>11.707355864811134</v>
      </c>
      <c r="L122" s="6">
        <v>10.592752485609628</v>
      </c>
      <c r="M122" s="8">
        <f t="shared" si="2"/>
        <v>13.839809833081944</v>
      </c>
      <c r="N122" s="1">
        <f t="shared" si="3"/>
        <v>4.6920082768882727</v>
      </c>
    </row>
    <row r="123" spans="1:14" x14ac:dyDescent="0.25">
      <c r="A123" s="2" t="s">
        <v>242</v>
      </c>
      <c r="B123" s="2" t="s">
        <v>243</v>
      </c>
      <c r="C123" s="4">
        <v>37.1</v>
      </c>
      <c r="D123" s="5">
        <v>2058973.8125</v>
      </c>
      <c r="E123" s="5">
        <v>933286.734375</v>
      </c>
      <c r="F123" s="5">
        <v>2253775.4375</v>
      </c>
      <c r="G123" s="3">
        <v>7</v>
      </c>
      <c r="H123" s="3">
        <v>8</v>
      </c>
      <c r="I123" s="3">
        <v>10</v>
      </c>
      <c r="J123" s="6">
        <v>7.4741804467653035</v>
      </c>
      <c r="K123" s="6">
        <v>7.8049039098740884</v>
      </c>
      <c r="L123" s="6">
        <v>9.6297749869178446</v>
      </c>
      <c r="M123" s="8">
        <f t="shared" si="2"/>
        <v>8.3029531145190791</v>
      </c>
      <c r="N123" s="1">
        <f t="shared" si="3"/>
        <v>1.1608990968510169</v>
      </c>
    </row>
    <row r="124" spans="1:14" x14ac:dyDescent="0.25">
      <c r="A124" s="2" t="s">
        <v>244</v>
      </c>
      <c r="B124" s="2" t="s">
        <v>245</v>
      </c>
      <c r="C124" s="4">
        <v>213.2</v>
      </c>
      <c r="D124" s="5">
        <v>128269.546875</v>
      </c>
      <c r="E124" s="5">
        <v>442542.8125</v>
      </c>
      <c r="F124" s="5">
        <v>0</v>
      </c>
      <c r="G124" s="3">
        <v>11</v>
      </c>
      <c r="H124" s="3">
        <v>10</v>
      </c>
      <c r="I124" s="3">
        <v>10</v>
      </c>
      <c r="J124" s="6">
        <v>11.745140702059762</v>
      </c>
      <c r="K124" s="6">
        <v>9.7561298873426114</v>
      </c>
      <c r="L124" s="6">
        <v>9.6297749869178446</v>
      </c>
      <c r="M124" s="8">
        <f t="shared" si="2"/>
        <v>10.37701519210674</v>
      </c>
      <c r="N124" s="1">
        <f t="shared" si="3"/>
        <v>1.1865146220984817</v>
      </c>
    </row>
    <row r="125" spans="1:14" x14ac:dyDescent="0.25">
      <c r="A125" s="2" t="s">
        <v>246</v>
      </c>
      <c r="B125" s="2" t="s">
        <v>247</v>
      </c>
      <c r="C125" s="4">
        <v>60.5</v>
      </c>
      <c r="D125" s="5">
        <v>0</v>
      </c>
      <c r="E125" s="5">
        <v>1781211.1484375</v>
      </c>
      <c r="F125" s="5">
        <v>0</v>
      </c>
      <c r="G125" s="3"/>
      <c r="H125" s="3">
        <v>2</v>
      </c>
      <c r="I125" s="3"/>
      <c r="J125" s="6" t="s">
        <v>986</v>
      </c>
      <c r="K125" s="6">
        <v>1.9512259774685221</v>
      </c>
      <c r="L125" s="6" t="s">
        <v>986</v>
      </c>
      <c r="M125" s="8">
        <f t="shared" si="2"/>
        <v>1.9512259774685221</v>
      </c>
      <c r="N125" s="1" t="e">
        <f t="shared" si="3"/>
        <v>#DIV/0!</v>
      </c>
    </row>
    <row r="126" spans="1:14" x14ac:dyDescent="0.25">
      <c r="A126" s="2" t="s">
        <v>248</v>
      </c>
      <c r="B126" s="2" t="s">
        <v>249</v>
      </c>
      <c r="C126" s="4">
        <v>107.8</v>
      </c>
      <c r="D126" s="5">
        <v>248260.7890625</v>
      </c>
      <c r="E126" s="5">
        <v>248856.59375</v>
      </c>
      <c r="F126" s="5">
        <v>0</v>
      </c>
      <c r="G126" s="3">
        <v>2</v>
      </c>
      <c r="H126" s="3">
        <v>3</v>
      </c>
      <c r="I126" s="3"/>
      <c r="J126" s="6">
        <v>2.1354801276472295</v>
      </c>
      <c r="K126" s="6">
        <v>2.9268389662027836</v>
      </c>
      <c r="L126" s="6" t="s">
        <v>986</v>
      </c>
      <c r="M126" s="8">
        <f t="shared" si="2"/>
        <v>2.5311595469250063</v>
      </c>
      <c r="N126" s="1">
        <f t="shared" si="3"/>
        <v>0.55957520109454462</v>
      </c>
    </row>
    <row r="127" spans="1:14" x14ac:dyDescent="0.25">
      <c r="A127" s="2" t="s">
        <v>250</v>
      </c>
      <c r="B127" s="2" t="s">
        <v>251</v>
      </c>
      <c r="C127" s="4">
        <v>25.6</v>
      </c>
      <c r="D127" s="5">
        <v>1300913.625</v>
      </c>
      <c r="E127" s="5">
        <v>1036827.0625</v>
      </c>
      <c r="F127" s="5">
        <v>1457330.875</v>
      </c>
      <c r="G127" s="3">
        <v>7</v>
      </c>
      <c r="H127" s="3">
        <v>5</v>
      </c>
      <c r="I127" s="3">
        <v>5</v>
      </c>
      <c r="J127" s="6">
        <v>7.4741804467653035</v>
      </c>
      <c r="K127" s="6">
        <v>4.8780649436713057</v>
      </c>
      <c r="L127" s="6">
        <v>4.8148874934589223</v>
      </c>
      <c r="M127" s="8">
        <f t="shared" si="2"/>
        <v>5.7223776279651775</v>
      </c>
      <c r="N127" s="1">
        <f t="shared" si="3"/>
        <v>1.5174345733905232</v>
      </c>
    </row>
    <row r="128" spans="1:14" x14ac:dyDescent="0.25">
      <c r="A128" s="2" t="s">
        <v>252</v>
      </c>
      <c r="B128" s="2" t="s">
        <v>253</v>
      </c>
      <c r="C128" s="4">
        <v>66</v>
      </c>
      <c r="D128" s="5">
        <v>171619.65625</v>
      </c>
      <c r="E128" s="5">
        <v>150704.390625</v>
      </c>
      <c r="F128" s="5">
        <v>137022.21875</v>
      </c>
      <c r="G128" s="3">
        <v>5</v>
      </c>
      <c r="H128" s="3">
        <v>8</v>
      </c>
      <c r="I128" s="3">
        <v>7</v>
      </c>
      <c r="J128" s="6">
        <v>5.3387003191180735</v>
      </c>
      <c r="K128" s="6">
        <v>7.8049039098740884</v>
      </c>
      <c r="L128" s="6">
        <v>6.7408424908424909</v>
      </c>
      <c r="M128" s="8">
        <f t="shared" si="2"/>
        <v>6.6281489066115507</v>
      </c>
      <c r="N128" s="1">
        <f t="shared" si="3"/>
        <v>1.2369579300483817</v>
      </c>
    </row>
    <row r="129" spans="1:14" x14ac:dyDescent="0.25">
      <c r="A129" s="2" t="s">
        <v>254</v>
      </c>
      <c r="B129" s="2" t="s">
        <v>255</v>
      </c>
      <c r="C129" s="4">
        <v>26.5</v>
      </c>
      <c r="D129" s="5">
        <v>12561551.140625</v>
      </c>
      <c r="E129" s="5">
        <v>8886591.671875</v>
      </c>
      <c r="F129" s="5">
        <v>10778206.0078125</v>
      </c>
      <c r="G129" s="3">
        <v>20</v>
      </c>
      <c r="H129" s="3">
        <v>18</v>
      </c>
      <c r="I129" s="3">
        <v>21</v>
      </c>
      <c r="J129" s="6">
        <v>21.354801276472294</v>
      </c>
      <c r="K129" s="6">
        <v>17.561033797216702</v>
      </c>
      <c r="L129" s="6">
        <v>20.222527472527474</v>
      </c>
      <c r="M129" s="8">
        <f t="shared" si="2"/>
        <v>19.712787515405491</v>
      </c>
      <c r="N129" s="1">
        <f t="shared" si="3"/>
        <v>1.9475738855251101</v>
      </c>
    </row>
    <row r="130" spans="1:14" x14ac:dyDescent="0.25">
      <c r="A130" s="2" t="s">
        <v>256</v>
      </c>
      <c r="B130" s="2" t="s">
        <v>257</v>
      </c>
      <c r="C130" s="4">
        <v>24.4</v>
      </c>
      <c r="D130" s="5">
        <v>2208986.6875</v>
      </c>
      <c r="E130" s="5">
        <v>2688218.96875</v>
      </c>
      <c r="F130" s="5">
        <v>0</v>
      </c>
      <c r="G130" s="3">
        <v>10</v>
      </c>
      <c r="H130" s="3">
        <v>11</v>
      </c>
      <c r="I130" s="3"/>
      <c r="J130" s="6">
        <v>10.677400638236147</v>
      </c>
      <c r="K130" s="6">
        <v>10.731742876076872</v>
      </c>
      <c r="L130" s="6" t="s">
        <v>986</v>
      </c>
      <c r="M130" s="8">
        <f t="shared" si="2"/>
        <v>10.70457175715651</v>
      </c>
      <c r="N130" s="1">
        <f t="shared" si="3"/>
        <v>3.8425764882028861E-2</v>
      </c>
    </row>
    <row r="131" spans="1:14" x14ac:dyDescent="0.25">
      <c r="A131" s="2" t="s">
        <v>258</v>
      </c>
      <c r="B131" s="2" t="s">
        <v>259</v>
      </c>
      <c r="C131" s="4">
        <v>26</v>
      </c>
      <c r="D131" s="5">
        <v>132907118.265625</v>
      </c>
      <c r="E131" s="5">
        <v>111011369.75</v>
      </c>
      <c r="F131" s="5">
        <v>122317051.75</v>
      </c>
      <c r="G131" s="3">
        <v>45</v>
      </c>
      <c r="H131" s="3">
        <v>53</v>
      </c>
      <c r="I131" s="3">
        <v>51</v>
      </c>
      <c r="J131" s="6">
        <v>48.048302872062663</v>
      </c>
      <c r="K131" s="6">
        <v>51.707488402915835</v>
      </c>
      <c r="L131" s="6">
        <v>49.111852433281008</v>
      </c>
      <c r="M131" s="8">
        <f t="shared" si="2"/>
        <v>49.622547902753162</v>
      </c>
      <c r="N131" s="1">
        <f t="shared" si="3"/>
        <v>1.8822903825408674</v>
      </c>
    </row>
    <row r="132" spans="1:14" x14ac:dyDescent="0.25">
      <c r="A132" s="2" t="s">
        <v>260</v>
      </c>
      <c r="B132" s="2" t="s">
        <v>261</v>
      </c>
      <c r="C132" s="4">
        <v>30.4</v>
      </c>
      <c r="D132" s="5">
        <v>6339544.796875</v>
      </c>
      <c r="E132" s="5">
        <v>5400646.09375</v>
      </c>
      <c r="F132" s="5">
        <v>6357695.15625</v>
      </c>
      <c r="G132" s="3">
        <v>10</v>
      </c>
      <c r="H132" s="3">
        <v>10</v>
      </c>
      <c r="I132" s="3">
        <v>9</v>
      </c>
      <c r="J132" s="6">
        <v>10.677400638236147</v>
      </c>
      <c r="K132" s="6">
        <v>9.7561298873426114</v>
      </c>
      <c r="L132" s="6">
        <v>8.6667974882260594</v>
      </c>
      <c r="M132" s="8">
        <f t="shared" ref="M132:M195" si="4">AVERAGE(J132:L132)</f>
        <v>9.7001093379349399</v>
      </c>
      <c r="N132" s="1">
        <f t="shared" ref="N132:N195" si="5">STDEV(J132:L132)</f>
        <v>1.0064715511004645</v>
      </c>
    </row>
    <row r="133" spans="1:14" x14ac:dyDescent="0.25">
      <c r="A133" s="2" t="s">
        <v>262</v>
      </c>
      <c r="B133" s="2" t="s">
        <v>263</v>
      </c>
      <c r="C133" s="4">
        <v>16.899999999999999</v>
      </c>
      <c r="D133" s="5">
        <v>0</v>
      </c>
      <c r="E133" s="5">
        <v>24752284.9375</v>
      </c>
      <c r="F133" s="5">
        <v>14500019.6640625</v>
      </c>
      <c r="G133" s="3"/>
      <c r="H133" s="3">
        <v>14</v>
      </c>
      <c r="I133" s="3">
        <v>12</v>
      </c>
      <c r="J133" s="6" t="s">
        <v>986</v>
      </c>
      <c r="K133" s="6">
        <v>13.658581842279656</v>
      </c>
      <c r="L133" s="6">
        <v>11.555729984301413</v>
      </c>
      <c r="M133" s="8">
        <f t="shared" si="4"/>
        <v>12.607155913290534</v>
      </c>
      <c r="N133" s="1">
        <f t="shared" si="5"/>
        <v>1.4869408086071458</v>
      </c>
    </row>
    <row r="134" spans="1:14" x14ac:dyDescent="0.25">
      <c r="A134" s="2" t="s">
        <v>264</v>
      </c>
      <c r="B134" s="2" t="s">
        <v>265</v>
      </c>
      <c r="C134" s="4">
        <v>44.6</v>
      </c>
      <c r="D134" s="5">
        <v>2533802.171875</v>
      </c>
      <c r="E134" s="5">
        <v>2252631.5625</v>
      </c>
      <c r="F134" s="5">
        <v>2607103.265625</v>
      </c>
      <c r="G134" s="3">
        <v>9</v>
      </c>
      <c r="H134" s="3">
        <v>7</v>
      </c>
      <c r="I134" s="3">
        <v>8</v>
      </c>
      <c r="J134" s="6">
        <v>9.6096605744125334</v>
      </c>
      <c r="K134" s="6">
        <v>6.8292909211398278</v>
      </c>
      <c r="L134" s="6">
        <v>7.703819989534276</v>
      </c>
      <c r="M134" s="8">
        <f t="shared" si="4"/>
        <v>8.0475904950288779</v>
      </c>
      <c r="N134" s="1">
        <f t="shared" si="5"/>
        <v>1.421705831930776</v>
      </c>
    </row>
    <row r="135" spans="1:14" x14ac:dyDescent="0.25">
      <c r="A135" s="2" t="s">
        <v>266</v>
      </c>
      <c r="B135" s="2" t="s">
        <v>267</v>
      </c>
      <c r="C135" s="4">
        <v>24.3</v>
      </c>
      <c r="D135" s="5">
        <v>108103887.703125</v>
      </c>
      <c r="E135" s="5">
        <v>97652044.78125</v>
      </c>
      <c r="F135" s="5">
        <v>57497216.59375</v>
      </c>
      <c r="G135" s="3">
        <v>25</v>
      </c>
      <c r="H135" s="3">
        <v>15</v>
      </c>
      <c r="I135" s="3">
        <v>11</v>
      </c>
      <c r="J135" s="6">
        <v>26.693501595590369</v>
      </c>
      <c r="K135" s="6">
        <v>14.634194831013914</v>
      </c>
      <c r="L135" s="6">
        <v>10.592752485609628</v>
      </c>
      <c r="M135" s="8">
        <f t="shared" si="4"/>
        <v>17.306816304071305</v>
      </c>
      <c r="N135" s="1">
        <f t="shared" si="5"/>
        <v>8.3764974559371748</v>
      </c>
    </row>
    <row r="136" spans="1:14" x14ac:dyDescent="0.25">
      <c r="A136" s="2" t="s">
        <v>268</v>
      </c>
      <c r="B136" s="2" t="s">
        <v>269</v>
      </c>
      <c r="C136" s="4">
        <v>15.6</v>
      </c>
      <c r="D136" s="5">
        <v>16558175.5</v>
      </c>
      <c r="E136" s="5">
        <v>14287938</v>
      </c>
      <c r="F136" s="5">
        <v>12918277.5</v>
      </c>
      <c r="G136" s="3">
        <v>33</v>
      </c>
      <c r="H136" s="3">
        <v>37</v>
      </c>
      <c r="I136" s="3">
        <v>51</v>
      </c>
      <c r="J136" s="6">
        <v>35.235422106179286</v>
      </c>
      <c r="K136" s="6">
        <v>36.097680583167659</v>
      </c>
      <c r="L136" s="6">
        <v>49.111852433281008</v>
      </c>
      <c r="M136" s="8">
        <f t="shared" si="4"/>
        <v>40.148318374209317</v>
      </c>
      <c r="N136" s="1">
        <f t="shared" si="5"/>
        <v>7.774611214806054</v>
      </c>
    </row>
    <row r="137" spans="1:14" x14ac:dyDescent="0.25">
      <c r="A137" s="2" t="s">
        <v>270</v>
      </c>
      <c r="B137" s="2" t="s">
        <v>271</v>
      </c>
      <c r="C137" s="4">
        <v>59.4</v>
      </c>
      <c r="D137" s="5">
        <v>2974729.46875</v>
      </c>
      <c r="E137" s="5">
        <v>1535386.265625</v>
      </c>
      <c r="F137" s="5">
        <v>0</v>
      </c>
      <c r="G137" s="3">
        <v>12</v>
      </c>
      <c r="H137" s="3">
        <v>5</v>
      </c>
      <c r="I137" s="3"/>
      <c r="J137" s="6">
        <v>12.812880765883376</v>
      </c>
      <c r="K137" s="6">
        <v>4.8780649436713057</v>
      </c>
      <c r="L137" s="6" t="s">
        <v>986</v>
      </c>
      <c r="M137" s="8">
        <f t="shared" si="4"/>
        <v>8.8454728547773414</v>
      </c>
      <c r="N137" s="1">
        <f t="shared" si="5"/>
        <v>5.6107620753524632</v>
      </c>
    </row>
    <row r="138" spans="1:14" x14ac:dyDescent="0.25">
      <c r="A138" s="2" t="s">
        <v>272</v>
      </c>
      <c r="B138" s="2" t="s">
        <v>273</v>
      </c>
      <c r="C138" s="4">
        <v>52.8</v>
      </c>
      <c r="D138" s="5">
        <v>2961075.15625</v>
      </c>
      <c r="E138" s="5">
        <v>1262411.875</v>
      </c>
      <c r="F138" s="5">
        <v>1328319.6875</v>
      </c>
      <c r="G138" s="3">
        <v>8</v>
      </c>
      <c r="H138" s="3">
        <v>4</v>
      </c>
      <c r="I138" s="3">
        <v>6</v>
      </c>
      <c r="J138" s="6">
        <v>8.541920510588918</v>
      </c>
      <c r="K138" s="6">
        <v>3.9024519549370442</v>
      </c>
      <c r="L138" s="6">
        <v>5.7778649921507066</v>
      </c>
      <c r="M138" s="8">
        <f t="shared" si="4"/>
        <v>6.0740791525588902</v>
      </c>
      <c r="N138" s="1">
        <f t="shared" si="5"/>
        <v>2.3338753697102943</v>
      </c>
    </row>
    <row r="139" spans="1:14" x14ac:dyDescent="0.25">
      <c r="A139" s="2" t="s">
        <v>274</v>
      </c>
      <c r="B139" s="2" t="s">
        <v>275</v>
      </c>
      <c r="C139" s="4">
        <v>49.9</v>
      </c>
      <c r="D139" s="5">
        <v>0</v>
      </c>
      <c r="E139" s="5">
        <v>356374.3515625</v>
      </c>
      <c r="F139" s="5">
        <v>604972.375</v>
      </c>
      <c r="G139" s="3"/>
      <c r="H139" s="3">
        <v>2</v>
      </c>
      <c r="I139" s="3">
        <v>3</v>
      </c>
      <c r="J139" s="6" t="s">
        <v>986</v>
      </c>
      <c r="K139" s="6">
        <v>1.9512259774685221</v>
      </c>
      <c r="L139" s="6">
        <v>2.8889324960753533</v>
      </c>
      <c r="M139" s="8">
        <f t="shared" si="4"/>
        <v>2.4200792367719375</v>
      </c>
      <c r="N139" s="1">
        <f t="shared" si="5"/>
        <v>0.66305863806972154</v>
      </c>
    </row>
    <row r="140" spans="1:14" x14ac:dyDescent="0.25">
      <c r="A140" s="2" t="s">
        <v>276</v>
      </c>
      <c r="B140" s="2" t="s">
        <v>277</v>
      </c>
      <c r="C140" s="4">
        <v>19.2</v>
      </c>
      <c r="D140" s="5">
        <v>773294.21875</v>
      </c>
      <c r="E140" s="5">
        <v>606866.421875</v>
      </c>
      <c r="F140" s="5">
        <v>879686.5625</v>
      </c>
      <c r="G140" s="3">
        <v>33</v>
      </c>
      <c r="H140" s="3">
        <v>29</v>
      </c>
      <c r="I140" s="3">
        <v>28</v>
      </c>
      <c r="J140" s="6">
        <v>35.235422106179286</v>
      </c>
      <c r="K140" s="6">
        <v>28.29277667329357</v>
      </c>
      <c r="L140" s="6">
        <v>26.963369963369964</v>
      </c>
      <c r="M140" s="8">
        <f t="shared" si="4"/>
        <v>30.163856247614273</v>
      </c>
      <c r="N140" s="1">
        <f t="shared" si="5"/>
        <v>4.4421183846695369</v>
      </c>
    </row>
    <row r="141" spans="1:14" x14ac:dyDescent="0.25">
      <c r="A141" s="2" t="s">
        <v>278</v>
      </c>
      <c r="B141" s="2" t="s">
        <v>279</v>
      </c>
      <c r="C141" s="4">
        <v>23.4</v>
      </c>
      <c r="D141" s="5">
        <v>0</v>
      </c>
      <c r="E141" s="5">
        <v>604166.7265625</v>
      </c>
      <c r="F141" s="5">
        <v>0</v>
      </c>
      <c r="G141" s="3"/>
      <c r="H141" s="3">
        <v>4</v>
      </c>
      <c r="I141" s="3"/>
      <c r="J141" s="6" t="s">
        <v>986</v>
      </c>
      <c r="K141" s="6">
        <v>3.9024519549370442</v>
      </c>
      <c r="L141" s="6" t="s">
        <v>986</v>
      </c>
      <c r="M141" s="8">
        <f t="shared" si="4"/>
        <v>3.9024519549370442</v>
      </c>
      <c r="N141" s="1" t="e">
        <f t="shared" si="5"/>
        <v>#DIV/0!</v>
      </c>
    </row>
    <row r="142" spans="1:14" x14ac:dyDescent="0.25">
      <c r="A142" s="2" t="s">
        <v>280</v>
      </c>
      <c r="B142" s="2" t="s">
        <v>281</v>
      </c>
      <c r="C142" s="4">
        <v>22.8</v>
      </c>
      <c r="D142" s="5">
        <v>2183683.4375</v>
      </c>
      <c r="E142" s="5">
        <v>1050735.96875</v>
      </c>
      <c r="F142" s="5">
        <v>1522410</v>
      </c>
      <c r="G142" s="3">
        <v>14</v>
      </c>
      <c r="H142" s="3">
        <v>11</v>
      </c>
      <c r="I142" s="3">
        <v>12</v>
      </c>
      <c r="J142" s="6">
        <v>14.948360893530607</v>
      </c>
      <c r="K142" s="6">
        <v>10.731742876076872</v>
      </c>
      <c r="L142" s="6">
        <v>11.555729984301413</v>
      </c>
      <c r="M142" s="8">
        <f t="shared" si="4"/>
        <v>12.411944584636297</v>
      </c>
      <c r="N142" s="1">
        <f t="shared" si="5"/>
        <v>2.234903679725107</v>
      </c>
    </row>
    <row r="143" spans="1:14" x14ac:dyDescent="0.25">
      <c r="A143" s="2" t="s">
        <v>282</v>
      </c>
      <c r="B143" s="2" t="s">
        <v>283</v>
      </c>
      <c r="C143" s="4">
        <v>50.4</v>
      </c>
      <c r="D143" s="5">
        <v>0</v>
      </c>
      <c r="E143" s="5">
        <v>784751</v>
      </c>
      <c r="F143" s="5">
        <v>0</v>
      </c>
      <c r="G143" s="3"/>
      <c r="H143" s="3">
        <v>2</v>
      </c>
      <c r="I143" s="3">
        <v>2</v>
      </c>
      <c r="J143" s="6" t="s">
        <v>986</v>
      </c>
      <c r="K143" s="6">
        <v>1.9512259774685221</v>
      </c>
      <c r="L143" s="6">
        <v>1.925954997383569</v>
      </c>
      <c r="M143" s="8">
        <f t="shared" si="4"/>
        <v>1.9385904874260456</v>
      </c>
      <c r="N143" s="1">
        <f t="shared" si="5"/>
        <v>1.7869281385300532E-2</v>
      </c>
    </row>
    <row r="144" spans="1:14" x14ac:dyDescent="0.25">
      <c r="A144" s="2" t="s">
        <v>284</v>
      </c>
      <c r="B144" s="2" t="s">
        <v>285</v>
      </c>
      <c r="C144" s="4">
        <v>20.3</v>
      </c>
      <c r="D144" s="5">
        <v>4760001.5625</v>
      </c>
      <c r="E144" s="5">
        <v>56322886.15625</v>
      </c>
      <c r="F144" s="5">
        <v>57099908.6875</v>
      </c>
      <c r="G144" s="3">
        <v>27</v>
      </c>
      <c r="H144" s="3">
        <v>23</v>
      </c>
      <c r="I144" s="3">
        <v>23</v>
      </c>
      <c r="J144" s="6">
        <v>28.828981723237597</v>
      </c>
      <c r="K144" s="6">
        <v>22.439098740888006</v>
      </c>
      <c r="L144" s="6">
        <v>22.148482469911041</v>
      </c>
      <c r="M144" s="8">
        <f t="shared" si="4"/>
        <v>24.472187644678883</v>
      </c>
      <c r="N144" s="1">
        <f t="shared" si="5"/>
        <v>3.7758913433071863</v>
      </c>
    </row>
    <row r="145" spans="1:14" x14ac:dyDescent="0.25">
      <c r="A145" s="2" t="s">
        <v>286</v>
      </c>
      <c r="B145" s="2" t="s">
        <v>287</v>
      </c>
      <c r="C145" s="4">
        <v>45.2</v>
      </c>
      <c r="D145" s="5">
        <v>5479461.609375</v>
      </c>
      <c r="E145" s="5">
        <v>5117629.703125</v>
      </c>
      <c r="F145" s="5">
        <v>4206940.46875</v>
      </c>
      <c r="G145" s="3">
        <v>42</v>
      </c>
      <c r="H145" s="3">
        <v>41</v>
      </c>
      <c r="I145" s="3">
        <v>34</v>
      </c>
      <c r="J145" s="6">
        <v>44.845082680591823</v>
      </c>
      <c r="K145" s="6">
        <v>40.000132538104708</v>
      </c>
      <c r="L145" s="6">
        <v>32.741234955520667</v>
      </c>
      <c r="M145" s="8">
        <f t="shared" si="4"/>
        <v>39.19548339140573</v>
      </c>
      <c r="N145" s="1">
        <f t="shared" si="5"/>
        <v>6.0919108352708458</v>
      </c>
    </row>
    <row r="146" spans="1:14" x14ac:dyDescent="0.25">
      <c r="A146" s="2" t="s">
        <v>288</v>
      </c>
      <c r="B146" s="2" t="s">
        <v>289</v>
      </c>
      <c r="C146" s="4">
        <v>14.2</v>
      </c>
      <c r="D146" s="5">
        <v>30325666.1875</v>
      </c>
      <c r="E146" s="5">
        <v>17809850.53125</v>
      </c>
      <c r="F146" s="5">
        <v>21227558.8125</v>
      </c>
      <c r="G146" s="3">
        <v>26</v>
      </c>
      <c r="H146" s="3">
        <v>30</v>
      </c>
      <c r="I146" s="3">
        <v>28</v>
      </c>
      <c r="J146" s="6">
        <v>27.761241659413983</v>
      </c>
      <c r="K146" s="6">
        <v>29.268389662027829</v>
      </c>
      <c r="L146" s="6">
        <v>26.963369963369964</v>
      </c>
      <c r="M146" s="8">
        <f t="shared" si="4"/>
        <v>27.99766709493726</v>
      </c>
      <c r="N146" s="1">
        <f t="shared" si="5"/>
        <v>1.1705561467618617</v>
      </c>
    </row>
    <row r="147" spans="1:14" x14ac:dyDescent="0.25">
      <c r="A147" s="2" t="s">
        <v>290</v>
      </c>
      <c r="B147" s="2" t="s">
        <v>291</v>
      </c>
      <c r="C147" s="4">
        <v>34.9</v>
      </c>
      <c r="D147" s="5">
        <v>0</v>
      </c>
      <c r="E147" s="5">
        <v>1873642.5</v>
      </c>
      <c r="F147" s="5">
        <v>1284396.25</v>
      </c>
      <c r="G147" s="3"/>
      <c r="H147" s="3">
        <v>10</v>
      </c>
      <c r="I147" s="3">
        <v>10</v>
      </c>
      <c r="J147" s="6" t="s">
        <v>986</v>
      </c>
      <c r="K147" s="6">
        <v>9.7561298873426114</v>
      </c>
      <c r="L147" s="6">
        <v>9.6297749869178446</v>
      </c>
      <c r="M147" s="8">
        <f t="shared" si="4"/>
        <v>9.6929524371302271</v>
      </c>
      <c r="N147" s="1">
        <f t="shared" si="5"/>
        <v>8.9346406926503599E-2</v>
      </c>
    </row>
    <row r="148" spans="1:14" x14ac:dyDescent="0.25">
      <c r="A148" s="2" t="s">
        <v>292</v>
      </c>
      <c r="B148" s="2" t="s">
        <v>293</v>
      </c>
      <c r="C148" s="4">
        <v>23.2</v>
      </c>
      <c r="D148" s="5">
        <v>1292965.546875</v>
      </c>
      <c r="E148" s="5">
        <v>1278125.953125</v>
      </c>
      <c r="F148" s="5">
        <v>807910.3125</v>
      </c>
      <c r="G148" s="3">
        <v>7</v>
      </c>
      <c r="H148" s="3">
        <v>9</v>
      </c>
      <c r="I148" s="3">
        <v>8</v>
      </c>
      <c r="J148" s="6">
        <v>7.4741804467653035</v>
      </c>
      <c r="K148" s="6">
        <v>8.7805168986083508</v>
      </c>
      <c r="L148" s="6">
        <v>7.703819989534276</v>
      </c>
      <c r="M148" s="8">
        <f t="shared" si="4"/>
        <v>7.9861724449693101</v>
      </c>
      <c r="N148" s="1">
        <f t="shared" si="5"/>
        <v>0.6974388239631597</v>
      </c>
    </row>
    <row r="149" spans="1:14" x14ac:dyDescent="0.25">
      <c r="A149" s="2" t="s">
        <v>294</v>
      </c>
      <c r="B149" s="2" t="s">
        <v>295</v>
      </c>
      <c r="C149" s="4">
        <v>17.3</v>
      </c>
      <c r="D149" s="5">
        <v>1702286</v>
      </c>
      <c r="E149" s="5">
        <v>3018524.5</v>
      </c>
      <c r="F149" s="5">
        <v>2347044.703125</v>
      </c>
      <c r="G149" s="3">
        <v>20</v>
      </c>
      <c r="H149" s="3">
        <v>22</v>
      </c>
      <c r="I149" s="3">
        <v>18</v>
      </c>
      <c r="J149" s="6">
        <v>21.354801276472294</v>
      </c>
      <c r="K149" s="6">
        <v>21.463485752153744</v>
      </c>
      <c r="L149" s="6">
        <v>17.333594976452119</v>
      </c>
      <c r="M149" s="8">
        <f t="shared" si="4"/>
        <v>20.050627335026054</v>
      </c>
      <c r="N149" s="1">
        <f t="shared" si="5"/>
        <v>2.3536464702599056</v>
      </c>
    </row>
    <row r="150" spans="1:14" x14ac:dyDescent="0.25">
      <c r="A150" s="2" t="s">
        <v>296</v>
      </c>
      <c r="B150" s="2" t="s">
        <v>297</v>
      </c>
      <c r="C150" s="4">
        <v>15.9</v>
      </c>
      <c r="D150" s="5">
        <v>0</v>
      </c>
      <c r="E150" s="5">
        <v>18786645.65625</v>
      </c>
      <c r="F150" s="5">
        <v>20102232.90625</v>
      </c>
      <c r="G150" s="3"/>
      <c r="H150" s="3">
        <v>22</v>
      </c>
      <c r="I150" s="3">
        <v>21</v>
      </c>
      <c r="J150" s="6" t="s">
        <v>986</v>
      </c>
      <c r="K150" s="6">
        <v>21.463485752153744</v>
      </c>
      <c r="L150" s="6">
        <v>20.222527472527474</v>
      </c>
      <c r="M150" s="8">
        <f t="shared" si="4"/>
        <v>20.843006612340609</v>
      </c>
      <c r="N150" s="1">
        <f t="shared" si="5"/>
        <v>0.8774900146933271</v>
      </c>
    </row>
    <row r="151" spans="1:14" x14ac:dyDescent="0.25">
      <c r="A151" s="2" t="s">
        <v>298</v>
      </c>
      <c r="B151" s="2" t="s">
        <v>299</v>
      </c>
      <c r="C151" s="4">
        <v>93.7</v>
      </c>
      <c r="D151" s="5">
        <v>274811.34375</v>
      </c>
      <c r="E151" s="5">
        <v>584987.16015625</v>
      </c>
      <c r="F151" s="5">
        <v>550445.3125</v>
      </c>
      <c r="G151" s="3">
        <v>2</v>
      </c>
      <c r="H151" s="3">
        <v>3</v>
      </c>
      <c r="I151" s="3">
        <v>3</v>
      </c>
      <c r="J151" s="6">
        <v>2.1354801276472295</v>
      </c>
      <c r="K151" s="6">
        <v>2.9268389662027836</v>
      </c>
      <c r="L151" s="6">
        <v>2.8889324960753533</v>
      </c>
      <c r="M151" s="8">
        <f t="shared" si="4"/>
        <v>2.6504171966417887</v>
      </c>
      <c r="N151" s="1">
        <f t="shared" si="5"/>
        <v>0.44635116655825019</v>
      </c>
    </row>
    <row r="152" spans="1:14" x14ac:dyDescent="0.25">
      <c r="A152" s="2" t="s">
        <v>300</v>
      </c>
      <c r="B152" s="2" t="s">
        <v>301</v>
      </c>
      <c r="C152" s="4">
        <v>17.100000000000001</v>
      </c>
      <c r="D152" s="5">
        <v>3289437.75</v>
      </c>
      <c r="E152" s="5">
        <v>3602019.75</v>
      </c>
      <c r="F152" s="5">
        <v>11833763</v>
      </c>
      <c r="G152" s="3">
        <v>18</v>
      </c>
      <c r="H152" s="3">
        <v>12</v>
      </c>
      <c r="I152" s="3">
        <v>14</v>
      </c>
      <c r="J152" s="6">
        <v>19.219321148825067</v>
      </c>
      <c r="K152" s="6">
        <v>11.707355864811134</v>
      </c>
      <c r="L152" s="6">
        <v>13.481684981684982</v>
      </c>
      <c r="M152" s="8">
        <f t="shared" si="4"/>
        <v>14.802787331773729</v>
      </c>
      <c r="N152" s="1">
        <f t="shared" si="5"/>
        <v>3.9263709926107389</v>
      </c>
    </row>
    <row r="153" spans="1:14" x14ac:dyDescent="0.25">
      <c r="A153" s="2" t="s">
        <v>302</v>
      </c>
      <c r="B153" s="2" t="s">
        <v>303</v>
      </c>
      <c r="C153" s="4">
        <v>53.6</v>
      </c>
      <c r="D153" s="5">
        <v>1059505.8125</v>
      </c>
      <c r="E153" s="5">
        <v>313161.40625</v>
      </c>
      <c r="F153" s="5">
        <v>1050004.71875</v>
      </c>
      <c r="G153" s="3">
        <v>4</v>
      </c>
      <c r="H153" s="3">
        <v>4</v>
      </c>
      <c r="I153" s="3">
        <v>6</v>
      </c>
      <c r="J153" s="6">
        <v>4.270960255294459</v>
      </c>
      <c r="K153" s="6">
        <v>3.9024519549370442</v>
      </c>
      <c r="L153" s="6">
        <v>5.7778649921507066</v>
      </c>
      <c r="M153" s="8">
        <f t="shared" si="4"/>
        <v>4.6504257341274036</v>
      </c>
      <c r="N153" s="1">
        <f t="shared" si="5"/>
        <v>0.9936242007203604</v>
      </c>
    </row>
    <row r="154" spans="1:14" x14ac:dyDescent="0.25">
      <c r="A154" s="2" t="s">
        <v>304</v>
      </c>
      <c r="B154" s="2" t="s">
        <v>305</v>
      </c>
      <c r="C154" s="4">
        <v>50.4</v>
      </c>
      <c r="D154" s="5">
        <v>27372535.34375</v>
      </c>
      <c r="E154" s="5">
        <v>21136276.46875</v>
      </c>
      <c r="F154" s="5">
        <v>25036369.75</v>
      </c>
      <c r="G154" s="3">
        <v>14</v>
      </c>
      <c r="H154" s="3">
        <v>12</v>
      </c>
      <c r="I154" s="3">
        <v>12</v>
      </c>
      <c r="J154" s="6">
        <v>14.948360893530607</v>
      </c>
      <c r="K154" s="6">
        <v>11.707355864811134</v>
      </c>
      <c r="L154" s="6">
        <v>11.555729984301413</v>
      </c>
      <c r="M154" s="8">
        <f t="shared" si="4"/>
        <v>12.737148914214385</v>
      </c>
      <c r="N154" s="1">
        <f t="shared" si="5"/>
        <v>1.9164658658618938</v>
      </c>
    </row>
    <row r="155" spans="1:14" x14ac:dyDescent="0.25">
      <c r="A155" s="2" t="s">
        <v>306</v>
      </c>
      <c r="B155" s="2" t="s">
        <v>307</v>
      </c>
      <c r="C155" s="4">
        <v>38.700000000000003</v>
      </c>
      <c r="D155" s="5">
        <v>11820985.4375</v>
      </c>
      <c r="E155" s="5">
        <v>2471333.69140625</v>
      </c>
      <c r="F155" s="5">
        <v>685898.240234375</v>
      </c>
      <c r="G155" s="3">
        <v>15</v>
      </c>
      <c r="H155" s="3">
        <v>14</v>
      </c>
      <c r="I155" s="3">
        <v>14</v>
      </c>
      <c r="J155" s="6">
        <v>16.016100957354219</v>
      </c>
      <c r="K155" s="6">
        <v>13.658581842279656</v>
      </c>
      <c r="L155" s="6">
        <v>13.481684981684982</v>
      </c>
      <c r="M155" s="8">
        <f t="shared" si="4"/>
        <v>14.385455927106285</v>
      </c>
      <c r="N155" s="1">
        <f t="shared" si="5"/>
        <v>1.4149471848186688</v>
      </c>
    </row>
    <row r="156" spans="1:14" x14ac:dyDescent="0.25">
      <c r="A156" s="2" t="s">
        <v>308</v>
      </c>
      <c r="B156" s="2" t="s">
        <v>309</v>
      </c>
      <c r="C156" s="4">
        <v>113.3</v>
      </c>
      <c r="D156" s="5">
        <v>648015.125</v>
      </c>
      <c r="E156" s="5">
        <v>617167.09375</v>
      </c>
      <c r="F156" s="5">
        <v>837038.25</v>
      </c>
      <c r="G156" s="3">
        <v>12</v>
      </c>
      <c r="H156" s="3">
        <v>10</v>
      </c>
      <c r="I156" s="3">
        <v>11</v>
      </c>
      <c r="J156" s="6">
        <v>12.812880765883376</v>
      </c>
      <c r="K156" s="6">
        <v>9.7561298873426114</v>
      </c>
      <c r="L156" s="6">
        <v>10.592752485609628</v>
      </c>
      <c r="M156" s="8">
        <f t="shared" si="4"/>
        <v>11.053921046278539</v>
      </c>
      <c r="N156" s="1">
        <f t="shared" si="5"/>
        <v>1.5796957980500448</v>
      </c>
    </row>
    <row r="157" spans="1:14" x14ac:dyDescent="0.25">
      <c r="A157" s="2" t="s">
        <v>310</v>
      </c>
      <c r="B157" s="2" t="s">
        <v>311</v>
      </c>
      <c r="C157" s="4">
        <v>63.3</v>
      </c>
      <c r="D157" s="5">
        <v>510523.03125</v>
      </c>
      <c r="E157" s="5">
        <v>862518.296875</v>
      </c>
      <c r="F157" s="5">
        <v>559429.65625</v>
      </c>
      <c r="G157" s="3">
        <v>18</v>
      </c>
      <c r="H157" s="3">
        <v>22</v>
      </c>
      <c r="I157" s="3">
        <v>21</v>
      </c>
      <c r="J157" s="6">
        <v>19.219321148825067</v>
      </c>
      <c r="K157" s="6">
        <v>21.463485752153744</v>
      </c>
      <c r="L157" s="6">
        <v>20.222527472527474</v>
      </c>
      <c r="M157" s="8">
        <f t="shared" si="4"/>
        <v>20.301778124502096</v>
      </c>
      <c r="N157" s="1">
        <f t="shared" si="5"/>
        <v>1.1241793411583143</v>
      </c>
    </row>
    <row r="158" spans="1:14" x14ac:dyDescent="0.25">
      <c r="A158" s="2" t="s">
        <v>312</v>
      </c>
      <c r="B158" s="2" t="s">
        <v>313</v>
      </c>
      <c r="C158" s="4">
        <v>28.2</v>
      </c>
      <c r="D158" s="5">
        <v>14491325</v>
      </c>
      <c r="E158" s="5">
        <v>8436486</v>
      </c>
      <c r="F158" s="5">
        <v>16519240</v>
      </c>
      <c r="G158" s="3">
        <v>27</v>
      </c>
      <c r="H158" s="3">
        <v>27</v>
      </c>
      <c r="I158" s="3">
        <v>27</v>
      </c>
      <c r="J158" s="6">
        <v>28.828981723237597</v>
      </c>
      <c r="K158" s="6">
        <v>26.341550695825049</v>
      </c>
      <c r="L158" s="6">
        <v>26.000392464678178</v>
      </c>
      <c r="M158" s="8">
        <f t="shared" si="4"/>
        <v>27.05697496124694</v>
      </c>
      <c r="N158" s="1">
        <f t="shared" si="5"/>
        <v>1.5440541467433293</v>
      </c>
    </row>
    <row r="159" spans="1:14" x14ac:dyDescent="0.25">
      <c r="A159" s="2" t="s">
        <v>314</v>
      </c>
      <c r="B159" s="2" t="s">
        <v>315</v>
      </c>
      <c r="C159" s="4">
        <v>35.299999999999997</v>
      </c>
      <c r="D159" s="5">
        <v>10684498.5625</v>
      </c>
      <c r="E159" s="5">
        <v>10702294.46875</v>
      </c>
      <c r="F159" s="5">
        <v>13421137</v>
      </c>
      <c r="G159" s="3">
        <v>36</v>
      </c>
      <c r="H159" s="3">
        <v>44</v>
      </c>
      <c r="I159" s="3">
        <v>48</v>
      </c>
      <c r="J159" s="6">
        <v>38.438642297650134</v>
      </c>
      <c r="K159" s="6">
        <v>42.926971504307488</v>
      </c>
      <c r="L159" s="6">
        <v>46.222919937205653</v>
      </c>
      <c r="M159" s="8">
        <f t="shared" si="4"/>
        <v>42.529511246387756</v>
      </c>
      <c r="N159" s="1">
        <f t="shared" si="5"/>
        <v>3.9073297256425934</v>
      </c>
    </row>
    <row r="160" spans="1:14" x14ac:dyDescent="0.25">
      <c r="A160" s="2" t="s">
        <v>316</v>
      </c>
      <c r="B160" s="2" t="s">
        <v>317</v>
      </c>
      <c r="C160" s="4">
        <v>21.4</v>
      </c>
      <c r="D160" s="5">
        <v>19711154</v>
      </c>
      <c r="E160" s="5">
        <v>15555642</v>
      </c>
      <c r="F160" s="5">
        <v>19129604</v>
      </c>
      <c r="G160" s="3">
        <v>36</v>
      </c>
      <c r="H160" s="3">
        <v>43</v>
      </c>
      <c r="I160" s="3">
        <v>54</v>
      </c>
      <c r="J160" s="6">
        <v>38.438642297650134</v>
      </c>
      <c r="K160" s="6">
        <v>41.951358515573233</v>
      </c>
      <c r="L160" s="6">
        <v>52.000784929356357</v>
      </c>
      <c r="M160" s="8">
        <f t="shared" si="4"/>
        <v>44.130261914193248</v>
      </c>
      <c r="N160" s="1">
        <f t="shared" si="5"/>
        <v>7.0387245439833581</v>
      </c>
    </row>
    <row r="161" spans="1:14" x14ac:dyDescent="0.25">
      <c r="A161" s="2" t="s">
        <v>318</v>
      </c>
      <c r="B161" s="2" t="s">
        <v>319</v>
      </c>
      <c r="C161" s="4">
        <v>35.4</v>
      </c>
      <c r="D161" s="5">
        <v>14246058</v>
      </c>
      <c r="E161" s="5">
        <v>7837427.5</v>
      </c>
      <c r="F161" s="5">
        <v>10835532</v>
      </c>
      <c r="G161" s="3">
        <v>41</v>
      </c>
      <c r="H161" s="3">
        <v>39</v>
      </c>
      <c r="I161" s="3">
        <v>39</v>
      </c>
      <c r="J161" s="6">
        <v>43.777342616768202</v>
      </c>
      <c r="K161" s="6">
        <v>38.048906560636183</v>
      </c>
      <c r="L161" s="6">
        <v>37.556122448979586</v>
      </c>
      <c r="M161" s="8">
        <f t="shared" si="4"/>
        <v>39.794123875461317</v>
      </c>
      <c r="N161" s="1">
        <f t="shared" si="5"/>
        <v>3.4583569366100799</v>
      </c>
    </row>
    <row r="162" spans="1:14" x14ac:dyDescent="0.25">
      <c r="A162" s="2" t="s">
        <v>320</v>
      </c>
      <c r="B162" s="2" t="s">
        <v>321</v>
      </c>
      <c r="C162" s="4">
        <v>14.3</v>
      </c>
      <c r="D162" s="5">
        <v>3937754.5</v>
      </c>
      <c r="E162" s="5">
        <v>2665258.25</v>
      </c>
      <c r="F162" s="5">
        <v>4220700</v>
      </c>
      <c r="G162" s="3">
        <v>12</v>
      </c>
      <c r="H162" s="3">
        <v>10</v>
      </c>
      <c r="I162" s="3">
        <v>12</v>
      </c>
      <c r="J162" s="6">
        <v>12.812880765883376</v>
      </c>
      <c r="K162" s="6">
        <v>9.7561298873426114</v>
      </c>
      <c r="L162" s="6">
        <v>11.555729984301413</v>
      </c>
      <c r="M162" s="8">
        <f t="shared" si="4"/>
        <v>11.374913545842467</v>
      </c>
      <c r="N162" s="1">
        <f t="shared" si="5"/>
        <v>1.5363763932310499</v>
      </c>
    </row>
    <row r="163" spans="1:14" x14ac:dyDescent="0.25">
      <c r="A163" s="2" t="s">
        <v>322</v>
      </c>
      <c r="B163" s="2" t="s">
        <v>323</v>
      </c>
      <c r="C163" s="4">
        <v>28.2</v>
      </c>
      <c r="D163" s="5">
        <v>12857332</v>
      </c>
      <c r="E163" s="5">
        <v>15207179</v>
      </c>
      <c r="F163" s="5">
        <v>15907838</v>
      </c>
      <c r="G163" s="3">
        <v>27</v>
      </c>
      <c r="H163" s="3">
        <v>27</v>
      </c>
      <c r="I163" s="3">
        <v>27</v>
      </c>
      <c r="J163" s="6">
        <v>28.828981723237597</v>
      </c>
      <c r="K163" s="6">
        <v>26.341550695825049</v>
      </c>
      <c r="L163" s="6">
        <v>26.000392464678178</v>
      </c>
      <c r="M163" s="8">
        <f t="shared" si="4"/>
        <v>27.05697496124694</v>
      </c>
      <c r="N163" s="1">
        <f t="shared" si="5"/>
        <v>1.5440541467433293</v>
      </c>
    </row>
    <row r="164" spans="1:14" x14ac:dyDescent="0.25">
      <c r="A164" s="2" t="s">
        <v>324</v>
      </c>
      <c r="B164" s="2" t="s">
        <v>325</v>
      </c>
      <c r="C164" s="4">
        <v>61.6</v>
      </c>
      <c r="D164" s="5">
        <v>6957508.90625</v>
      </c>
      <c r="E164" s="5">
        <v>5116863.40625</v>
      </c>
      <c r="F164" s="5">
        <v>9642087.6875</v>
      </c>
      <c r="G164" s="3">
        <v>17</v>
      </c>
      <c r="H164" s="3">
        <v>14</v>
      </c>
      <c r="I164" s="3">
        <v>19</v>
      </c>
      <c r="J164" s="6">
        <v>18.15158108500145</v>
      </c>
      <c r="K164" s="6">
        <v>13.658581842279656</v>
      </c>
      <c r="L164" s="6">
        <v>18.296572475143904</v>
      </c>
      <c r="M164" s="8">
        <f t="shared" si="4"/>
        <v>16.70224513414167</v>
      </c>
      <c r="N164" s="1">
        <f t="shared" si="5"/>
        <v>2.6368864786856294</v>
      </c>
    </row>
    <row r="165" spans="1:14" x14ac:dyDescent="0.25">
      <c r="A165" s="2" t="s">
        <v>326</v>
      </c>
      <c r="B165" s="2" t="s">
        <v>327</v>
      </c>
      <c r="C165" s="4">
        <v>14.2</v>
      </c>
      <c r="D165" s="5">
        <v>823799.1875</v>
      </c>
      <c r="E165" s="5">
        <v>436506.84375</v>
      </c>
      <c r="F165" s="5">
        <v>852083.71875</v>
      </c>
      <c r="G165" s="3">
        <v>17</v>
      </c>
      <c r="H165" s="3">
        <v>13</v>
      </c>
      <c r="I165" s="3">
        <v>18</v>
      </c>
      <c r="J165" s="6">
        <v>18.15158108500145</v>
      </c>
      <c r="K165" s="6">
        <v>12.682968853545393</v>
      </c>
      <c r="L165" s="6">
        <v>17.333594976452119</v>
      </c>
      <c r="M165" s="8">
        <f t="shared" si="4"/>
        <v>16.056048304999653</v>
      </c>
      <c r="N165" s="1">
        <f t="shared" si="5"/>
        <v>2.9496650755318261</v>
      </c>
    </row>
    <row r="166" spans="1:14" x14ac:dyDescent="0.25">
      <c r="A166" s="2" t="s">
        <v>328</v>
      </c>
      <c r="B166" s="2" t="s">
        <v>329</v>
      </c>
      <c r="C166" s="4">
        <v>74.3</v>
      </c>
      <c r="D166" s="5">
        <v>2370523.71875</v>
      </c>
      <c r="E166" s="5">
        <v>1653616.78125</v>
      </c>
      <c r="F166" s="5">
        <v>2201899.375</v>
      </c>
      <c r="G166" s="3">
        <v>38</v>
      </c>
      <c r="H166" s="3">
        <v>39</v>
      </c>
      <c r="I166" s="3">
        <v>39</v>
      </c>
      <c r="J166" s="6">
        <v>40.574122425297354</v>
      </c>
      <c r="K166" s="6">
        <v>38.048906560636183</v>
      </c>
      <c r="L166" s="6">
        <v>37.556122448979586</v>
      </c>
      <c r="M166" s="8">
        <f t="shared" si="4"/>
        <v>38.726383811637703</v>
      </c>
      <c r="N166" s="1">
        <f t="shared" si="5"/>
        <v>1.6190467978047911</v>
      </c>
    </row>
    <row r="167" spans="1:14" x14ac:dyDescent="0.25">
      <c r="A167" s="2" t="s">
        <v>330</v>
      </c>
      <c r="B167" s="2" t="s">
        <v>331</v>
      </c>
      <c r="C167" s="4">
        <v>13.8</v>
      </c>
      <c r="D167" s="5">
        <v>1136981.09375</v>
      </c>
      <c r="E167" s="5">
        <v>12351825.625</v>
      </c>
      <c r="F167" s="5">
        <v>602777.75</v>
      </c>
      <c r="G167" s="3">
        <v>2</v>
      </c>
      <c r="H167" s="3">
        <v>2</v>
      </c>
      <c r="I167" s="3">
        <v>2</v>
      </c>
      <c r="J167" s="6">
        <v>2.1354801276472295</v>
      </c>
      <c r="K167" s="6">
        <v>1.9512259774685221</v>
      </c>
      <c r="L167" s="6">
        <v>1.925954997383569</v>
      </c>
      <c r="M167" s="8">
        <f t="shared" si="4"/>
        <v>2.0042203674997734</v>
      </c>
      <c r="N167" s="1">
        <f t="shared" si="5"/>
        <v>0.1143743812402466</v>
      </c>
    </row>
    <row r="168" spans="1:14" x14ac:dyDescent="0.25">
      <c r="A168" s="2" t="s">
        <v>332</v>
      </c>
      <c r="B168" s="2" t="s">
        <v>333</v>
      </c>
      <c r="C168" s="4">
        <v>11.9</v>
      </c>
      <c r="D168" s="5">
        <v>3222854.75</v>
      </c>
      <c r="E168" s="5">
        <v>3090556.875</v>
      </c>
      <c r="F168" s="5">
        <v>5371722.5</v>
      </c>
      <c r="G168" s="3">
        <v>5</v>
      </c>
      <c r="H168" s="3">
        <v>6</v>
      </c>
      <c r="I168" s="3">
        <v>3</v>
      </c>
      <c r="J168" s="6">
        <v>5.3387003191180735</v>
      </c>
      <c r="K168" s="6">
        <v>5.8536779324055672</v>
      </c>
      <c r="L168" s="6">
        <v>2.8889324960753533</v>
      </c>
      <c r="M168" s="8">
        <f t="shared" si="4"/>
        <v>4.6937702491996651</v>
      </c>
      <c r="N168" s="1">
        <f t="shared" si="5"/>
        <v>1.5841022605482029</v>
      </c>
    </row>
    <row r="169" spans="1:14" x14ac:dyDescent="0.25">
      <c r="A169" s="2" t="s">
        <v>334</v>
      </c>
      <c r="B169" s="2" t="s">
        <v>335</v>
      </c>
      <c r="C169" s="4">
        <v>30.6</v>
      </c>
      <c r="D169" s="5">
        <v>0</v>
      </c>
      <c r="E169" s="5">
        <v>0</v>
      </c>
      <c r="F169" s="5">
        <v>0</v>
      </c>
      <c r="G169" s="3"/>
      <c r="H169" s="3">
        <v>2</v>
      </c>
      <c r="I169" s="3"/>
      <c r="J169" s="6" t="s">
        <v>986</v>
      </c>
      <c r="K169" s="6">
        <v>1.9512259774685221</v>
      </c>
      <c r="L169" s="6" t="s">
        <v>986</v>
      </c>
      <c r="M169" s="8">
        <f t="shared" si="4"/>
        <v>1.9512259774685221</v>
      </c>
      <c r="N169" s="1" t="e">
        <f t="shared" si="5"/>
        <v>#DIV/0!</v>
      </c>
    </row>
    <row r="170" spans="1:14" x14ac:dyDescent="0.25">
      <c r="A170" s="2" t="s">
        <v>336</v>
      </c>
      <c r="B170" s="2" t="s">
        <v>337</v>
      </c>
      <c r="C170" s="4">
        <v>11.8</v>
      </c>
      <c r="D170" s="5">
        <v>3429815.5625</v>
      </c>
      <c r="E170" s="5">
        <v>2542113.25</v>
      </c>
      <c r="F170" s="5">
        <v>2368090.75</v>
      </c>
      <c r="G170" s="3">
        <v>4</v>
      </c>
      <c r="H170" s="3">
        <v>4</v>
      </c>
      <c r="I170" s="3">
        <v>4</v>
      </c>
      <c r="J170" s="6">
        <v>4.270960255294459</v>
      </c>
      <c r="K170" s="6">
        <v>3.9024519549370442</v>
      </c>
      <c r="L170" s="6">
        <v>3.851909994767138</v>
      </c>
      <c r="M170" s="8">
        <f t="shared" si="4"/>
        <v>4.0084407349995468</v>
      </c>
      <c r="N170" s="1">
        <f t="shared" si="5"/>
        <v>0.2287487624804932</v>
      </c>
    </row>
    <row r="171" spans="1:14" x14ac:dyDescent="0.25">
      <c r="A171" s="2" t="s">
        <v>338</v>
      </c>
      <c r="B171" s="2" t="s">
        <v>339</v>
      </c>
      <c r="C171" s="4">
        <v>17.2</v>
      </c>
      <c r="D171" s="5">
        <v>1838456.21875</v>
      </c>
      <c r="E171" s="5">
        <v>0</v>
      </c>
      <c r="F171" s="5">
        <v>1613123.5</v>
      </c>
      <c r="G171" s="3">
        <v>8</v>
      </c>
      <c r="H171" s="3">
        <v>5</v>
      </c>
      <c r="I171" s="3">
        <v>6</v>
      </c>
      <c r="J171" s="6">
        <v>8.541920510588918</v>
      </c>
      <c r="K171" s="6">
        <v>4.8780649436713057</v>
      </c>
      <c r="L171" s="6">
        <v>5.7778649921507066</v>
      </c>
      <c r="M171" s="8">
        <f t="shared" si="4"/>
        <v>6.3992834821369771</v>
      </c>
      <c r="N171" s="1">
        <f t="shared" si="5"/>
        <v>1.9093402286080117</v>
      </c>
    </row>
    <row r="172" spans="1:14" x14ac:dyDescent="0.25">
      <c r="A172" s="2" t="s">
        <v>340</v>
      </c>
      <c r="B172" s="2" t="s">
        <v>341</v>
      </c>
      <c r="C172" s="4">
        <v>46.1</v>
      </c>
      <c r="D172" s="5">
        <v>21544114.6484375</v>
      </c>
      <c r="E172" s="5">
        <v>16368729.25</v>
      </c>
      <c r="F172" s="5">
        <v>22314836.609375</v>
      </c>
      <c r="G172" s="3">
        <v>58</v>
      </c>
      <c r="H172" s="3">
        <v>52</v>
      </c>
      <c r="I172" s="3">
        <v>53</v>
      </c>
      <c r="J172" s="6">
        <v>61.928923701769655</v>
      </c>
      <c r="K172" s="6">
        <v>50.731875414181573</v>
      </c>
      <c r="L172" s="6">
        <v>51.037807430664571</v>
      </c>
      <c r="M172" s="8">
        <f t="shared" si="4"/>
        <v>54.566202182205267</v>
      </c>
      <c r="N172" s="1">
        <f t="shared" si="5"/>
        <v>6.3781384220374004</v>
      </c>
    </row>
    <row r="173" spans="1:14" x14ac:dyDescent="0.25">
      <c r="A173" s="2" t="s">
        <v>342</v>
      </c>
      <c r="B173" s="2" t="s">
        <v>343</v>
      </c>
      <c r="C173" s="4">
        <v>45</v>
      </c>
      <c r="D173" s="5">
        <v>4983238.3125</v>
      </c>
      <c r="E173" s="5">
        <v>1718629.25</v>
      </c>
      <c r="F173" s="5">
        <v>1276036.375</v>
      </c>
      <c r="G173" s="3">
        <v>16</v>
      </c>
      <c r="H173" s="3">
        <v>14</v>
      </c>
      <c r="I173" s="3">
        <v>15</v>
      </c>
      <c r="J173" s="6">
        <v>17.083841021177836</v>
      </c>
      <c r="K173" s="6">
        <v>13.658581842279656</v>
      </c>
      <c r="L173" s="6">
        <v>14.444662480376765</v>
      </c>
      <c r="M173" s="8">
        <f t="shared" si="4"/>
        <v>15.062361781278085</v>
      </c>
      <c r="N173" s="1">
        <f t="shared" si="5"/>
        <v>1.7942308743322428</v>
      </c>
    </row>
    <row r="174" spans="1:14" x14ac:dyDescent="0.25">
      <c r="A174" s="2" t="s">
        <v>344</v>
      </c>
      <c r="B174" s="2" t="s">
        <v>345</v>
      </c>
      <c r="C174" s="4">
        <v>27.3</v>
      </c>
      <c r="D174" s="5">
        <v>57274320.625</v>
      </c>
      <c r="E174" s="5">
        <v>44871253.5625</v>
      </c>
      <c r="F174" s="5">
        <v>55992067</v>
      </c>
      <c r="G174" s="3">
        <v>30</v>
      </c>
      <c r="H174" s="3">
        <v>31</v>
      </c>
      <c r="I174" s="3">
        <v>29</v>
      </c>
      <c r="J174" s="6">
        <v>32.032201914708438</v>
      </c>
      <c r="K174" s="6">
        <v>30.244002650762091</v>
      </c>
      <c r="L174" s="6">
        <v>27.926347462061745</v>
      </c>
      <c r="M174" s="8">
        <f t="shared" si="4"/>
        <v>30.067517342510758</v>
      </c>
      <c r="N174" s="1">
        <f t="shared" si="5"/>
        <v>2.0586088736331369</v>
      </c>
    </row>
    <row r="175" spans="1:14" x14ac:dyDescent="0.25">
      <c r="A175" s="2" t="s">
        <v>346</v>
      </c>
      <c r="B175" s="2" t="s">
        <v>347</v>
      </c>
      <c r="C175" s="4">
        <v>22.6</v>
      </c>
      <c r="D175" s="5">
        <v>126703434.625</v>
      </c>
      <c r="E175" s="5">
        <v>110292334.84375</v>
      </c>
      <c r="F175" s="5">
        <v>83677206</v>
      </c>
      <c r="G175" s="3">
        <v>31</v>
      </c>
      <c r="H175" s="3">
        <v>25</v>
      </c>
      <c r="I175" s="3">
        <v>26</v>
      </c>
      <c r="J175" s="6">
        <v>33.099941978532058</v>
      </c>
      <c r="K175" s="6">
        <v>24.390324718356528</v>
      </c>
      <c r="L175" s="6">
        <v>25.037414965986393</v>
      </c>
      <c r="M175" s="8">
        <f t="shared" si="4"/>
        <v>27.509227220958326</v>
      </c>
      <c r="N175" s="1">
        <f t="shared" si="5"/>
        <v>4.8524993634784517</v>
      </c>
    </row>
    <row r="176" spans="1:14" x14ac:dyDescent="0.25">
      <c r="A176" s="2" t="s">
        <v>348</v>
      </c>
      <c r="B176" s="2" t="s">
        <v>349</v>
      </c>
      <c r="C176" s="4">
        <v>68.400000000000006</v>
      </c>
      <c r="D176" s="5">
        <v>6533215.015625</v>
      </c>
      <c r="E176" s="5">
        <v>2484316.546875</v>
      </c>
      <c r="F176" s="5">
        <v>3470730.78125</v>
      </c>
      <c r="G176" s="3">
        <v>17</v>
      </c>
      <c r="H176" s="3">
        <v>14</v>
      </c>
      <c r="I176" s="3">
        <v>14</v>
      </c>
      <c r="J176" s="6">
        <v>18.15158108500145</v>
      </c>
      <c r="K176" s="6">
        <v>13.658581842279656</v>
      </c>
      <c r="L176" s="6">
        <v>13.481684981684982</v>
      </c>
      <c r="M176" s="8">
        <f t="shared" si="4"/>
        <v>15.09728263632203</v>
      </c>
      <c r="N176" s="1">
        <f t="shared" si="5"/>
        <v>2.6465784297893173</v>
      </c>
    </row>
    <row r="177" spans="1:14" x14ac:dyDescent="0.25">
      <c r="A177" s="2" t="s">
        <v>350</v>
      </c>
      <c r="B177" s="2" t="s">
        <v>351</v>
      </c>
      <c r="C177" s="4">
        <v>22.8</v>
      </c>
      <c r="D177" s="5">
        <v>2026223.375</v>
      </c>
      <c r="E177" s="5">
        <v>1887610.3125</v>
      </c>
      <c r="F177" s="5">
        <v>0</v>
      </c>
      <c r="G177" s="3">
        <v>15</v>
      </c>
      <c r="H177" s="3">
        <v>9</v>
      </c>
      <c r="I177" s="3"/>
      <c r="J177" s="6">
        <v>16.016100957354219</v>
      </c>
      <c r="K177" s="6">
        <v>8.7805168986083508</v>
      </c>
      <c r="L177" s="6" t="s">
        <v>986</v>
      </c>
      <c r="M177" s="8">
        <f t="shared" si="4"/>
        <v>12.398308927981285</v>
      </c>
      <c r="N177" s="1">
        <f t="shared" si="5"/>
        <v>5.1163305537844881</v>
      </c>
    </row>
    <row r="178" spans="1:14" x14ac:dyDescent="0.25">
      <c r="A178" s="2" t="s">
        <v>352</v>
      </c>
      <c r="B178" s="2" t="s">
        <v>353</v>
      </c>
      <c r="C178" s="4">
        <v>28.9</v>
      </c>
      <c r="D178" s="5">
        <v>816922.34375</v>
      </c>
      <c r="E178" s="5">
        <v>366437.21875</v>
      </c>
      <c r="F178" s="5">
        <v>0</v>
      </c>
      <c r="G178" s="3">
        <v>6</v>
      </c>
      <c r="H178" s="3">
        <v>2</v>
      </c>
      <c r="I178" s="3"/>
      <c r="J178" s="6">
        <v>6.406440382941688</v>
      </c>
      <c r="K178" s="6">
        <v>1.9512259774685221</v>
      </c>
      <c r="L178" s="6" t="s">
        <v>986</v>
      </c>
      <c r="M178" s="8">
        <f t="shared" si="4"/>
        <v>4.1788331802051051</v>
      </c>
      <c r="N178" s="1">
        <f t="shared" si="5"/>
        <v>3.1503123177500685</v>
      </c>
    </row>
    <row r="179" spans="1:14" x14ac:dyDescent="0.25">
      <c r="A179" s="2" t="s">
        <v>354</v>
      </c>
      <c r="B179" s="2" t="s">
        <v>355</v>
      </c>
      <c r="C179" s="4">
        <v>111.4</v>
      </c>
      <c r="D179" s="5">
        <v>276072.40625</v>
      </c>
      <c r="E179" s="5">
        <v>492240.625</v>
      </c>
      <c r="F179" s="5">
        <v>943690.421875</v>
      </c>
      <c r="G179" s="3">
        <v>2</v>
      </c>
      <c r="H179" s="3">
        <v>2</v>
      </c>
      <c r="I179" s="3">
        <v>4</v>
      </c>
      <c r="J179" s="6">
        <v>2.1354801276472295</v>
      </c>
      <c r="K179" s="6">
        <v>1.9512259774685221</v>
      </c>
      <c r="L179" s="6">
        <v>3.851909994767138</v>
      </c>
      <c r="M179" s="8">
        <f t="shared" si="4"/>
        <v>2.6462053666276302</v>
      </c>
      <c r="N179" s="1">
        <f t="shared" si="5"/>
        <v>1.0482271393654574</v>
      </c>
    </row>
    <row r="180" spans="1:14" x14ac:dyDescent="0.25">
      <c r="A180" s="2" t="s">
        <v>356</v>
      </c>
      <c r="B180" s="2" t="s">
        <v>357</v>
      </c>
      <c r="C180" s="4">
        <v>16.5</v>
      </c>
      <c r="D180" s="5">
        <v>24430342.375</v>
      </c>
      <c r="E180" s="5">
        <v>17557377.125</v>
      </c>
      <c r="F180" s="5">
        <v>27680926.8125</v>
      </c>
      <c r="G180" s="3">
        <v>12</v>
      </c>
      <c r="H180" s="3">
        <v>12</v>
      </c>
      <c r="I180" s="3">
        <v>14</v>
      </c>
      <c r="J180" s="6">
        <v>12.812880765883376</v>
      </c>
      <c r="K180" s="6">
        <v>11.707355864811134</v>
      </c>
      <c r="L180" s="6">
        <v>13.481684981684982</v>
      </c>
      <c r="M180" s="8">
        <f t="shared" si="4"/>
        <v>12.667307204126496</v>
      </c>
      <c r="N180" s="1">
        <f t="shared" si="5"/>
        <v>0.89607739629929262</v>
      </c>
    </row>
    <row r="181" spans="1:14" x14ac:dyDescent="0.25">
      <c r="A181" s="2" t="s">
        <v>358</v>
      </c>
      <c r="B181" s="2" t="s">
        <v>359</v>
      </c>
      <c r="C181" s="4">
        <v>17.8</v>
      </c>
      <c r="D181" s="5">
        <v>15212208.25</v>
      </c>
      <c r="E181" s="5">
        <v>7743110.5</v>
      </c>
      <c r="F181" s="5">
        <v>4170042.75</v>
      </c>
      <c r="G181" s="3">
        <v>17</v>
      </c>
      <c r="H181" s="3">
        <v>14</v>
      </c>
      <c r="I181" s="3">
        <v>15</v>
      </c>
      <c r="J181" s="6">
        <v>18.15158108500145</v>
      </c>
      <c r="K181" s="6">
        <v>13.658581842279656</v>
      </c>
      <c r="L181" s="6">
        <v>14.444662480376765</v>
      </c>
      <c r="M181" s="8">
        <f t="shared" si="4"/>
        <v>15.418275135885956</v>
      </c>
      <c r="N181" s="1">
        <f t="shared" si="5"/>
        <v>2.399521150354881</v>
      </c>
    </row>
    <row r="182" spans="1:14" x14ac:dyDescent="0.25">
      <c r="A182" s="2" t="s">
        <v>360</v>
      </c>
      <c r="B182" s="2" t="s">
        <v>361</v>
      </c>
      <c r="C182" s="4">
        <v>33.799999999999997</v>
      </c>
      <c r="D182" s="5">
        <v>409571.4375</v>
      </c>
      <c r="E182" s="5">
        <v>636086.625</v>
      </c>
      <c r="F182" s="5">
        <v>833257.75</v>
      </c>
      <c r="G182" s="3">
        <v>44</v>
      </c>
      <c r="H182" s="3">
        <v>51</v>
      </c>
      <c r="I182" s="3">
        <v>59</v>
      </c>
      <c r="J182" s="6">
        <v>46.98056280823905</v>
      </c>
      <c r="K182" s="6">
        <v>49.756262425447311</v>
      </c>
      <c r="L182" s="6">
        <v>56.815672422815283</v>
      </c>
      <c r="M182" s="8">
        <f t="shared" si="4"/>
        <v>51.184165885500555</v>
      </c>
      <c r="N182" s="1">
        <f t="shared" si="5"/>
        <v>5.0706534589840064</v>
      </c>
    </row>
    <row r="183" spans="1:14" x14ac:dyDescent="0.25">
      <c r="A183" s="2" t="s">
        <v>362</v>
      </c>
      <c r="B183" s="2" t="s">
        <v>363</v>
      </c>
      <c r="C183" s="4">
        <v>24.2</v>
      </c>
      <c r="D183" s="5">
        <v>0</v>
      </c>
      <c r="E183" s="5">
        <v>630640.3125</v>
      </c>
      <c r="F183" s="5">
        <v>1035227.75</v>
      </c>
      <c r="G183" s="3"/>
      <c r="H183" s="3">
        <v>11</v>
      </c>
      <c r="I183" s="3">
        <v>11</v>
      </c>
      <c r="J183" s="6" t="s">
        <v>986</v>
      </c>
      <c r="K183" s="6">
        <v>10.731742876076872</v>
      </c>
      <c r="L183" s="6">
        <v>10.592752485609628</v>
      </c>
      <c r="M183" s="8">
        <f t="shared" si="4"/>
        <v>10.662247680843251</v>
      </c>
      <c r="N183" s="1">
        <f t="shared" si="5"/>
        <v>9.8281047619154321E-2</v>
      </c>
    </row>
    <row r="184" spans="1:14" x14ac:dyDescent="0.25">
      <c r="A184" s="2" t="s">
        <v>364</v>
      </c>
      <c r="B184" s="2" t="s">
        <v>365</v>
      </c>
      <c r="C184" s="4">
        <v>29.9</v>
      </c>
      <c r="D184" s="5">
        <v>134022681</v>
      </c>
      <c r="E184" s="5">
        <v>66864750.5</v>
      </c>
      <c r="F184" s="5">
        <v>116340973.625</v>
      </c>
      <c r="G184" s="3">
        <v>68</v>
      </c>
      <c r="H184" s="3">
        <v>77</v>
      </c>
      <c r="I184" s="3">
        <v>91</v>
      </c>
      <c r="J184" s="6">
        <v>72.606324340005798</v>
      </c>
      <c r="K184" s="6">
        <v>75.122200132538111</v>
      </c>
      <c r="L184" s="6">
        <v>87.63095238095238</v>
      </c>
      <c r="M184" s="8">
        <f t="shared" si="4"/>
        <v>78.453158951165435</v>
      </c>
      <c r="N184" s="1">
        <f t="shared" si="5"/>
        <v>8.0471315964598773</v>
      </c>
    </row>
    <row r="185" spans="1:14" x14ac:dyDescent="0.25">
      <c r="A185" s="2" t="s">
        <v>366</v>
      </c>
      <c r="B185" s="2" t="s">
        <v>367</v>
      </c>
      <c r="C185" s="4">
        <v>23.9</v>
      </c>
      <c r="D185" s="5">
        <v>1747798.9375</v>
      </c>
      <c r="E185" s="5">
        <v>1589337.9375</v>
      </c>
      <c r="F185" s="5">
        <v>1689557.734375</v>
      </c>
      <c r="G185" s="3">
        <v>17</v>
      </c>
      <c r="H185" s="3">
        <v>22</v>
      </c>
      <c r="I185" s="3">
        <v>18</v>
      </c>
      <c r="J185" s="6">
        <v>18.15158108500145</v>
      </c>
      <c r="K185" s="6">
        <v>21.463485752153744</v>
      </c>
      <c r="L185" s="6">
        <v>17.333594976452119</v>
      </c>
      <c r="M185" s="8">
        <f t="shared" si="4"/>
        <v>18.98288727120244</v>
      </c>
      <c r="N185" s="1">
        <f t="shared" si="5"/>
        <v>2.1868474881020776</v>
      </c>
    </row>
    <row r="186" spans="1:14" x14ac:dyDescent="0.25">
      <c r="A186" s="2" t="s">
        <v>368</v>
      </c>
      <c r="B186" s="2" t="s">
        <v>369</v>
      </c>
      <c r="C186" s="4">
        <v>17</v>
      </c>
      <c r="D186" s="5">
        <v>141434146.75</v>
      </c>
      <c r="E186" s="5">
        <v>138414768.06640601</v>
      </c>
      <c r="F186" s="5">
        <v>131848671.27343801</v>
      </c>
      <c r="G186" s="3">
        <v>22</v>
      </c>
      <c r="H186" s="3">
        <v>55</v>
      </c>
      <c r="I186" s="3">
        <v>19</v>
      </c>
      <c r="J186" s="6">
        <v>23.490281404119525</v>
      </c>
      <c r="K186" s="6">
        <v>53.65871438038436</v>
      </c>
      <c r="L186" s="6">
        <v>18.296572475143904</v>
      </c>
      <c r="M186" s="8">
        <f t="shared" si="4"/>
        <v>31.815189419882596</v>
      </c>
      <c r="N186" s="1">
        <f t="shared" si="5"/>
        <v>19.094458361911659</v>
      </c>
    </row>
    <row r="187" spans="1:14" x14ac:dyDescent="0.25">
      <c r="A187" s="2" t="s">
        <v>370</v>
      </c>
      <c r="B187" s="2" t="s">
        <v>371</v>
      </c>
      <c r="C187" s="4">
        <v>22.1</v>
      </c>
      <c r="D187" s="5">
        <v>3090484.140625</v>
      </c>
      <c r="E187" s="5">
        <v>3025558</v>
      </c>
      <c r="F187" s="5">
        <v>2750090.59375</v>
      </c>
      <c r="G187" s="3">
        <v>25</v>
      </c>
      <c r="H187" s="3">
        <v>37</v>
      </c>
      <c r="I187" s="3">
        <v>29</v>
      </c>
      <c r="J187" s="6">
        <v>26.693501595590369</v>
      </c>
      <c r="K187" s="6">
        <v>36.097680583167659</v>
      </c>
      <c r="L187" s="6">
        <v>27.926347462061745</v>
      </c>
      <c r="M187" s="8">
        <f t="shared" si="4"/>
        <v>30.239176546939927</v>
      </c>
      <c r="N187" s="1">
        <f t="shared" si="5"/>
        <v>5.1109225575713184</v>
      </c>
    </row>
    <row r="188" spans="1:14" x14ac:dyDescent="0.25">
      <c r="A188" s="2" t="s">
        <v>372</v>
      </c>
      <c r="B188" s="2" t="s">
        <v>373</v>
      </c>
      <c r="C188" s="4">
        <v>102.6</v>
      </c>
      <c r="D188" s="5">
        <v>0</v>
      </c>
      <c r="E188" s="5">
        <v>336319.109375</v>
      </c>
      <c r="F188" s="5">
        <v>0</v>
      </c>
      <c r="G188" s="3"/>
      <c r="H188" s="3">
        <v>3</v>
      </c>
      <c r="I188" s="3"/>
      <c r="J188" s="6" t="s">
        <v>986</v>
      </c>
      <c r="K188" s="6">
        <v>2.9268389662027836</v>
      </c>
      <c r="L188" s="6" t="s">
        <v>986</v>
      </c>
      <c r="M188" s="8">
        <f t="shared" si="4"/>
        <v>2.9268389662027836</v>
      </c>
      <c r="N188" s="1" t="e">
        <f t="shared" si="5"/>
        <v>#DIV/0!</v>
      </c>
    </row>
    <row r="189" spans="1:14" x14ac:dyDescent="0.25">
      <c r="A189" s="2" t="s">
        <v>374</v>
      </c>
      <c r="B189" s="2" t="s">
        <v>375</v>
      </c>
      <c r="C189" s="4">
        <v>37.9</v>
      </c>
      <c r="D189" s="5">
        <v>1572138.625</v>
      </c>
      <c r="E189" s="5">
        <v>1726327.75</v>
      </c>
      <c r="F189" s="5">
        <v>1854485.5</v>
      </c>
      <c r="G189" s="3">
        <v>5</v>
      </c>
      <c r="H189" s="3">
        <v>2</v>
      </c>
      <c r="I189" s="3">
        <v>3</v>
      </c>
      <c r="J189" s="6">
        <v>5.3387003191180735</v>
      </c>
      <c r="K189" s="6">
        <v>1.9512259774685221</v>
      </c>
      <c r="L189" s="6">
        <v>2.8889324960753533</v>
      </c>
      <c r="M189" s="8">
        <f t="shared" si="4"/>
        <v>3.3929529308873163</v>
      </c>
      <c r="N189" s="1">
        <f t="shared" si="5"/>
        <v>1.7490777721029296</v>
      </c>
    </row>
    <row r="190" spans="1:14" x14ac:dyDescent="0.25">
      <c r="A190" s="2" t="s">
        <v>376</v>
      </c>
      <c r="B190" s="2" t="s">
        <v>377</v>
      </c>
      <c r="C190" s="4">
        <v>70.900000000000006</v>
      </c>
      <c r="D190" s="5">
        <v>0</v>
      </c>
      <c r="E190" s="5">
        <v>1111314.8125</v>
      </c>
      <c r="F190" s="5">
        <v>0</v>
      </c>
      <c r="G190" s="3"/>
      <c r="H190" s="3">
        <v>54</v>
      </c>
      <c r="I190" s="3"/>
      <c r="J190" s="6" t="s">
        <v>986</v>
      </c>
      <c r="K190" s="6">
        <v>52.683101391650098</v>
      </c>
      <c r="L190" s="6" t="s">
        <v>986</v>
      </c>
      <c r="M190" s="8">
        <f t="shared" si="4"/>
        <v>52.683101391650098</v>
      </c>
      <c r="N190" s="1" t="e">
        <f t="shared" si="5"/>
        <v>#DIV/0!</v>
      </c>
    </row>
    <row r="191" spans="1:14" x14ac:dyDescent="0.25">
      <c r="A191" s="2" t="s">
        <v>378</v>
      </c>
      <c r="B191" s="2" t="s">
        <v>379</v>
      </c>
      <c r="C191" s="4">
        <v>14.4</v>
      </c>
      <c r="D191" s="5">
        <v>507095.75</v>
      </c>
      <c r="E191" s="5">
        <v>447315</v>
      </c>
      <c r="F191" s="5">
        <v>599736.875</v>
      </c>
      <c r="G191" s="3">
        <v>18</v>
      </c>
      <c r="H191" s="3">
        <v>14</v>
      </c>
      <c r="I191" s="3">
        <v>17</v>
      </c>
      <c r="J191" s="6">
        <v>19.219321148825067</v>
      </c>
      <c r="K191" s="6">
        <v>13.658581842279656</v>
      </c>
      <c r="L191" s="6">
        <v>16.370617477760334</v>
      </c>
      <c r="M191" s="8">
        <f t="shared" si="4"/>
        <v>16.416173489621684</v>
      </c>
      <c r="N191" s="1">
        <f t="shared" si="5"/>
        <v>2.7806495502854038</v>
      </c>
    </row>
    <row r="192" spans="1:14" x14ac:dyDescent="0.25">
      <c r="A192" s="2" t="s">
        <v>380</v>
      </c>
      <c r="B192" s="2" t="s">
        <v>381</v>
      </c>
      <c r="C192" s="4">
        <v>83.6</v>
      </c>
      <c r="D192" s="5">
        <v>0</v>
      </c>
      <c r="E192" s="5">
        <v>0</v>
      </c>
      <c r="F192" s="5">
        <v>0</v>
      </c>
      <c r="G192" s="3">
        <v>11</v>
      </c>
      <c r="H192" s="3">
        <v>6</v>
      </c>
      <c r="I192" s="3">
        <v>5</v>
      </c>
      <c r="J192" s="6">
        <v>11.745140702059762</v>
      </c>
      <c r="K192" s="6">
        <v>5.8536779324055672</v>
      </c>
      <c r="L192" s="6">
        <v>4.8148874934589223</v>
      </c>
      <c r="M192" s="8">
        <f t="shared" si="4"/>
        <v>7.471235375974751</v>
      </c>
      <c r="N192" s="1">
        <f t="shared" si="5"/>
        <v>3.7375756107756657</v>
      </c>
    </row>
    <row r="193" spans="1:14" x14ac:dyDescent="0.25">
      <c r="A193" s="2" t="s">
        <v>382</v>
      </c>
      <c r="B193" s="2" t="s">
        <v>383</v>
      </c>
      <c r="C193" s="4">
        <v>14.1</v>
      </c>
      <c r="D193" s="5">
        <v>1773274.40625</v>
      </c>
      <c r="E193" s="5">
        <v>2431850.8125</v>
      </c>
      <c r="F193" s="5">
        <v>1862799.9375</v>
      </c>
      <c r="G193" s="3">
        <v>8</v>
      </c>
      <c r="H193" s="3">
        <v>8</v>
      </c>
      <c r="I193" s="3">
        <v>8</v>
      </c>
      <c r="J193" s="6">
        <v>8.541920510588918</v>
      </c>
      <c r="K193" s="6">
        <v>7.8049039098740884</v>
      </c>
      <c r="L193" s="6">
        <v>7.703819989534276</v>
      </c>
      <c r="M193" s="8">
        <f t="shared" si="4"/>
        <v>8.0168814699990936</v>
      </c>
      <c r="N193" s="1">
        <f t="shared" si="5"/>
        <v>0.45749752496098639</v>
      </c>
    </row>
    <row r="194" spans="1:14" x14ac:dyDescent="0.25">
      <c r="A194" s="2" t="s">
        <v>384</v>
      </c>
      <c r="B194" s="2" t="s">
        <v>385</v>
      </c>
      <c r="C194" s="4">
        <v>15.6</v>
      </c>
      <c r="D194" s="5">
        <v>4610651.875</v>
      </c>
      <c r="E194" s="5">
        <v>4018194.375</v>
      </c>
      <c r="F194" s="5">
        <v>4874069.375</v>
      </c>
      <c r="G194" s="3">
        <v>30</v>
      </c>
      <c r="H194" s="3">
        <v>32</v>
      </c>
      <c r="I194" s="3">
        <v>46</v>
      </c>
      <c r="J194" s="6">
        <v>32.032201914708438</v>
      </c>
      <c r="K194" s="6">
        <v>31.219615639496354</v>
      </c>
      <c r="L194" s="6">
        <v>44.296964939822082</v>
      </c>
      <c r="M194" s="8">
        <f t="shared" si="4"/>
        <v>35.849594164675629</v>
      </c>
      <c r="N194" s="1">
        <f t="shared" si="5"/>
        <v>7.3269112778348875</v>
      </c>
    </row>
    <row r="195" spans="1:14" x14ac:dyDescent="0.25">
      <c r="A195" s="2" t="s">
        <v>386</v>
      </c>
      <c r="B195" s="2" t="s">
        <v>387</v>
      </c>
      <c r="C195" s="4">
        <v>132</v>
      </c>
      <c r="D195" s="5">
        <v>3822875</v>
      </c>
      <c r="E195" s="5">
        <v>2591127.703125</v>
      </c>
      <c r="F195" s="5">
        <v>3781400.65625</v>
      </c>
      <c r="G195" s="3">
        <v>13</v>
      </c>
      <c r="H195" s="3">
        <v>12</v>
      </c>
      <c r="I195" s="3">
        <v>11</v>
      </c>
      <c r="J195" s="6">
        <v>13.880620829706992</v>
      </c>
      <c r="K195" s="6">
        <v>11.707355864811134</v>
      </c>
      <c r="L195" s="6">
        <v>10.592752485609628</v>
      </c>
      <c r="M195" s="8">
        <f t="shared" si="4"/>
        <v>12.060243060042586</v>
      </c>
      <c r="N195" s="1">
        <f t="shared" si="5"/>
        <v>1.6720994562071076</v>
      </c>
    </row>
    <row r="196" spans="1:14" x14ac:dyDescent="0.25">
      <c r="A196" s="2" t="s">
        <v>388</v>
      </c>
      <c r="B196" s="2" t="s">
        <v>389</v>
      </c>
      <c r="C196" s="4">
        <v>11.4</v>
      </c>
      <c r="D196" s="5">
        <v>1796433.0625</v>
      </c>
      <c r="E196" s="5">
        <v>1383341.9375</v>
      </c>
      <c r="F196" s="5">
        <v>1556482.25</v>
      </c>
      <c r="G196" s="3">
        <v>20</v>
      </c>
      <c r="H196" s="3">
        <v>21</v>
      </c>
      <c r="I196" s="3">
        <v>21</v>
      </c>
      <c r="J196" s="6">
        <v>21.354801276472294</v>
      </c>
      <c r="K196" s="6">
        <v>20.487872763419485</v>
      </c>
      <c r="L196" s="6">
        <v>20.222527472527474</v>
      </c>
      <c r="M196" s="8">
        <f t="shared" ref="M196:M259" si="6">AVERAGE(J196:L196)</f>
        <v>20.68840050413975</v>
      </c>
      <c r="N196" s="1">
        <f t="shared" ref="N196:N259" si="7">STDEV(J196:L196)</f>
        <v>0.59217355806697303</v>
      </c>
    </row>
    <row r="197" spans="1:14" x14ac:dyDescent="0.25">
      <c r="A197" s="2" t="s">
        <v>390</v>
      </c>
      <c r="B197" s="2" t="s">
        <v>391</v>
      </c>
      <c r="C197" s="4">
        <v>44.2</v>
      </c>
      <c r="D197" s="5">
        <v>5354642.375</v>
      </c>
      <c r="E197" s="5">
        <v>447091.75</v>
      </c>
      <c r="F197" s="5">
        <v>4084641.71875</v>
      </c>
      <c r="G197" s="3">
        <v>9</v>
      </c>
      <c r="H197" s="3">
        <v>9</v>
      </c>
      <c r="I197" s="3">
        <v>7</v>
      </c>
      <c r="J197" s="6">
        <v>9.6096605744125334</v>
      </c>
      <c r="K197" s="6">
        <v>8.7805168986083508</v>
      </c>
      <c r="L197" s="6">
        <v>6.7408424908424909</v>
      </c>
      <c r="M197" s="8">
        <f t="shared" si="6"/>
        <v>8.377006654621125</v>
      </c>
      <c r="N197" s="1">
        <f t="shared" si="7"/>
        <v>1.476361976923884</v>
      </c>
    </row>
    <row r="198" spans="1:14" x14ac:dyDescent="0.25">
      <c r="A198" s="2" t="s">
        <v>392</v>
      </c>
      <c r="B198" s="2" t="s">
        <v>393</v>
      </c>
      <c r="C198" s="4">
        <v>30.6</v>
      </c>
      <c r="D198" s="5">
        <v>136172.453125</v>
      </c>
      <c r="E198" s="5">
        <v>140836.125</v>
      </c>
      <c r="F198" s="5">
        <v>1492421.625</v>
      </c>
      <c r="G198" s="3">
        <v>5</v>
      </c>
      <c r="H198" s="3">
        <v>2</v>
      </c>
      <c r="I198" s="3">
        <v>5</v>
      </c>
      <c r="J198" s="6">
        <v>5.3387003191180735</v>
      </c>
      <c r="K198" s="6">
        <v>1.9512259774685221</v>
      </c>
      <c r="L198" s="6">
        <v>4.8148874934589223</v>
      </c>
      <c r="M198" s="8">
        <f t="shared" si="6"/>
        <v>4.0349379300151726</v>
      </c>
      <c r="N198" s="1">
        <f t="shared" si="7"/>
        <v>1.8234545771613249</v>
      </c>
    </row>
    <row r="199" spans="1:14" x14ac:dyDescent="0.25">
      <c r="A199" s="2" t="s">
        <v>394</v>
      </c>
      <c r="B199" s="2" t="s">
        <v>395</v>
      </c>
      <c r="C199" s="4">
        <v>16.399999999999999</v>
      </c>
      <c r="D199" s="5">
        <v>5404147.4140625</v>
      </c>
      <c r="E199" s="5">
        <v>6747524.75</v>
      </c>
      <c r="F199" s="5">
        <v>8158689</v>
      </c>
      <c r="G199" s="3">
        <v>8</v>
      </c>
      <c r="H199" s="3">
        <v>11</v>
      </c>
      <c r="I199" s="3">
        <v>14</v>
      </c>
      <c r="J199" s="6">
        <v>8.541920510588918</v>
      </c>
      <c r="K199" s="6">
        <v>10.731742876076872</v>
      </c>
      <c r="L199" s="6">
        <v>13.481684981684982</v>
      </c>
      <c r="M199" s="8">
        <f t="shared" si="6"/>
        <v>10.918449456116923</v>
      </c>
      <c r="N199" s="1">
        <f t="shared" si="7"/>
        <v>2.4751692402234799</v>
      </c>
    </row>
    <row r="200" spans="1:14" x14ac:dyDescent="0.25">
      <c r="A200" s="2" t="s">
        <v>396</v>
      </c>
      <c r="B200" s="2" t="s">
        <v>397</v>
      </c>
      <c r="C200" s="4">
        <v>21.9</v>
      </c>
      <c r="D200" s="5">
        <v>37807677.625</v>
      </c>
      <c r="E200" s="5">
        <v>40819361.9375</v>
      </c>
      <c r="F200" s="5">
        <v>19124942.71875</v>
      </c>
      <c r="G200" s="3">
        <v>53</v>
      </c>
      <c r="H200" s="3">
        <v>64</v>
      </c>
      <c r="I200" s="3">
        <v>70</v>
      </c>
      <c r="J200" s="6">
        <v>56.590223382651587</v>
      </c>
      <c r="K200" s="6">
        <v>62.439231278992708</v>
      </c>
      <c r="L200" s="6">
        <v>67.408424908424905</v>
      </c>
      <c r="M200" s="8">
        <f t="shared" si="6"/>
        <v>62.145959856689728</v>
      </c>
      <c r="N200" s="1">
        <f t="shared" si="7"/>
        <v>5.4150602174320968</v>
      </c>
    </row>
    <row r="201" spans="1:14" x14ac:dyDescent="0.25">
      <c r="A201" s="2" t="s">
        <v>398</v>
      </c>
      <c r="B201" s="2" t="s">
        <v>399</v>
      </c>
      <c r="C201" s="4">
        <v>14.8</v>
      </c>
      <c r="D201" s="5">
        <v>124423794.8125</v>
      </c>
      <c r="E201" s="5">
        <v>81494434.8125</v>
      </c>
      <c r="F201" s="5">
        <v>82967879.875</v>
      </c>
      <c r="G201" s="3">
        <v>25</v>
      </c>
      <c r="H201" s="3">
        <v>19</v>
      </c>
      <c r="I201" s="3">
        <v>11</v>
      </c>
      <c r="J201" s="6">
        <v>26.693501595590369</v>
      </c>
      <c r="K201" s="6">
        <v>18.53664678595096</v>
      </c>
      <c r="L201" s="6">
        <v>10.592752485609628</v>
      </c>
      <c r="M201" s="8">
        <f t="shared" si="6"/>
        <v>18.607633622383652</v>
      </c>
      <c r="N201" s="1">
        <f t="shared" si="7"/>
        <v>8.0506092827714824</v>
      </c>
    </row>
    <row r="202" spans="1:14" x14ac:dyDescent="0.25">
      <c r="A202" s="2" t="s">
        <v>400</v>
      </c>
      <c r="B202" s="2" t="s">
        <v>401</v>
      </c>
      <c r="C202" s="4">
        <v>17.3</v>
      </c>
      <c r="D202" s="5">
        <v>0</v>
      </c>
      <c r="E202" s="5">
        <v>6244380.3125</v>
      </c>
      <c r="F202" s="5">
        <v>0</v>
      </c>
      <c r="G202" s="3"/>
      <c r="H202" s="3">
        <v>23</v>
      </c>
      <c r="I202" s="3"/>
      <c r="J202" s="6" t="s">
        <v>986</v>
      </c>
      <c r="K202" s="6">
        <v>22.439098740888006</v>
      </c>
      <c r="L202" s="6" t="s">
        <v>986</v>
      </c>
      <c r="M202" s="8">
        <f t="shared" si="6"/>
        <v>22.439098740888006</v>
      </c>
      <c r="N202" s="1" t="e">
        <f t="shared" si="7"/>
        <v>#DIV/0!</v>
      </c>
    </row>
    <row r="203" spans="1:14" x14ac:dyDescent="0.25">
      <c r="A203" s="2" t="s">
        <v>402</v>
      </c>
      <c r="B203" s="2" t="s">
        <v>403</v>
      </c>
      <c r="C203" s="4">
        <v>78.8</v>
      </c>
      <c r="D203" s="5">
        <v>0</v>
      </c>
      <c r="E203" s="5">
        <v>568885.921875</v>
      </c>
      <c r="F203" s="5">
        <v>348816.90625</v>
      </c>
      <c r="G203" s="3"/>
      <c r="H203" s="3">
        <v>2</v>
      </c>
      <c r="I203" s="3">
        <v>4</v>
      </c>
      <c r="J203" s="6" t="s">
        <v>986</v>
      </c>
      <c r="K203" s="6">
        <v>1.9512259774685221</v>
      </c>
      <c r="L203" s="6">
        <v>3.851909994767138</v>
      </c>
      <c r="M203" s="8">
        <f t="shared" si="6"/>
        <v>2.9015679861178301</v>
      </c>
      <c r="N203" s="1">
        <f t="shared" si="7"/>
        <v>1.3439865575247414</v>
      </c>
    </row>
    <row r="204" spans="1:14" x14ac:dyDescent="0.25">
      <c r="A204" s="2" t="s">
        <v>404</v>
      </c>
      <c r="B204" s="2" t="s">
        <v>405</v>
      </c>
      <c r="C204" s="4">
        <v>33.700000000000003</v>
      </c>
      <c r="D204" s="5">
        <v>5723717.5625</v>
      </c>
      <c r="E204" s="5">
        <v>4668853.6875</v>
      </c>
      <c r="F204" s="5">
        <v>4322054.75</v>
      </c>
      <c r="G204" s="3">
        <v>12</v>
      </c>
      <c r="H204" s="3">
        <v>10</v>
      </c>
      <c r="I204" s="3">
        <v>13</v>
      </c>
      <c r="J204" s="6">
        <v>12.812880765883376</v>
      </c>
      <c r="K204" s="6">
        <v>9.7561298873426114</v>
      </c>
      <c r="L204" s="6">
        <v>12.518707482993197</v>
      </c>
      <c r="M204" s="8">
        <f t="shared" si="6"/>
        <v>11.695906045406394</v>
      </c>
      <c r="N204" s="1">
        <f t="shared" si="7"/>
        <v>1.6863223706148638</v>
      </c>
    </row>
    <row r="205" spans="1:14" x14ac:dyDescent="0.25">
      <c r="A205" s="2" t="s">
        <v>406</v>
      </c>
      <c r="B205" s="2" t="s">
        <v>407</v>
      </c>
      <c r="C205" s="4">
        <v>36.299999999999997</v>
      </c>
      <c r="D205" s="5">
        <v>14492638.25</v>
      </c>
      <c r="E205" s="5">
        <v>17297615.5</v>
      </c>
      <c r="F205" s="5">
        <v>16098422.375</v>
      </c>
      <c r="G205" s="3">
        <v>19</v>
      </c>
      <c r="H205" s="3">
        <v>21</v>
      </c>
      <c r="I205" s="3">
        <v>24</v>
      </c>
      <c r="J205" s="6">
        <v>20.287061212648677</v>
      </c>
      <c r="K205" s="6">
        <v>20.487872763419485</v>
      </c>
      <c r="L205" s="6">
        <v>23.111459968602826</v>
      </c>
      <c r="M205" s="8">
        <f t="shared" si="6"/>
        <v>21.29546464822366</v>
      </c>
      <c r="N205" s="1">
        <f t="shared" si="7"/>
        <v>1.5758999246335441</v>
      </c>
    </row>
    <row r="206" spans="1:14" x14ac:dyDescent="0.25">
      <c r="A206" s="2" t="s">
        <v>408</v>
      </c>
      <c r="B206" s="2" t="s">
        <v>409</v>
      </c>
      <c r="C206" s="4">
        <v>26.8</v>
      </c>
      <c r="D206" s="5">
        <v>5972026.4375</v>
      </c>
      <c r="E206" s="5">
        <v>3179322.6875</v>
      </c>
      <c r="F206" s="5">
        <v>8010031.65625</v>
      </c>
      <c r="G206" s="3">
        <v>4</v>
      </c>
      <c r="H206" s="3">
        <v>3</v>
      </c>
      <c r="I206" s="3">
        <v>4</v>
      </c>
      <c r="J206" s="6">
        <v>4.270960255294459</v>
      </c>
      <c r="K206" s="6">
        <v>2.9268389662027836</v>
      </c>
      <c r="L206" s="6">
        <v>3.851909994767138</v>
      </c>
      <c r="M206" s="8">
        <f t="shared" si="6"/>
        <v>3.6832364054214604</v>
      </c>
      <c r="N206" s="1">
        <f t="shared" si="7"/>
        <v>0.68775256797371132</v>
      </c>
    </row>
    <row r="207" spans="1:14" x14ac:dyDescent="0.25">
      <c r="A207" s="2" t="s">
        <v>410</v>
      </c>
      <c r="B207" s="2" t="s">
        <v>411</v>
      </c>
      <c r="C207" s="4">
        <v>24</v>
      </c>
      <c r="D207" s="5">
        <v>14806347.5</v>
      </c>
      <c r="E207" s="5">
        <v>13567703</v>
      </c>
      <c r="F207" s="5">
        <v>19179204</v>
      </c>
      <c r="G207" s="3">
        <v>13</v>
      </c>
      <c r="H207" s="3">
        <v>34</v>
      </c>
      <c r="I207" s="3">
        <v>13</v>
      </c>
      <c r="J207" s="6">
        <v>13.880620829706992</v>
      </c>
      <c r="K207" s="6">
        <v>33.170841616964879</v>
      </c>
      <c r="L207" s="6">
        <v>12.518707482993197</v>
      </c>
      <c r="M207" s="8">
        <f t="shared" si="6"/>
        <v>19.856723309888356</v>
      </c>
      <c r="N207" s="1">
        <f t="shared" si="7"/>
        <v>11.550455043508544</v>
      </c>
    </row>
    <row r="208" spans="1:14" x14ac:dyDescent="0.25">
      <c r="A208" s="2" t="s">
        <v>412</v>
      </c>
      <c r="B208" s="2" t="s">
        <v>413</v>
      </c>
      <c r="C208" s="4">
        <v>23.4</v>
      </c>
      <c r="D208" s="5">
        <v>1768404.375</v>
      </c>
      <c r="E208" s="5">
        <v>1057954.875</v>
      </c>
      <c r="F208" s="5">
        <v>2513725</v>
      </c>
      <c r="G208" s="3">
        <v>5</v>
      </c>
      <c r="H208" s="3">
        <v>4</v>
      </c>
      <c r="I208" s="3">
        <v>6</v>
      </c>
      <c r="J208" s="6">
        <v>5.3387003191180735</v>
      </c>
      <c r="K208" s="6">
        <v>3.9024519549370442</v>
      </c>
      <c r="L208" s="6">
        <v>5.7778649921507066</v>
      </c>
      <c r="M208" s="8">
        <f t="shared" si="6"/>
        <v>5.0063390887352748</v>
      </c>
      <c r="N208" s="1">
        <f t="shared" si="7"/>
        <v>0.98088812085472621</v>
      </c>
    </row>
    <row r="209" spans="1:14" x14ac:dyDescent="0.25">
      <c r="A209" s="2" t="s">
        <v>414</v>
      </c>
      <c r="B209" s="2" t="s">
        <v>415</v>
      </c>
      <c r="C209" s="4">
        <v>18.5</v>
      </c>
      <c r="D209" s="5">
        <v>10952911.75</v>
      </c>
      <c r="E209" s="5">
        <v>8851565.125</v>
      </c>
      <c r="F209" s="5">
        <v>1371207.125</v>
      </c>
      <c r="G209" s="3">
        <v>11</v>
      </c>
      <c r="H209" s="3">
        <v>11</v>
      </c>
      <c r="I209" s="3">
        <v>12</v>
      </c>
      <c r="J209" s="6">
        <v>11.745140702059762</v>
      </c>
      <c r="K209" s="6">
        <v>10.731742876076872</v>
      </c>
      <c r="L209" s="6">
        <v>11.555729984301413</v>
      </c>
      <c r="M209" s="8">
        <f t="shared" si="6"/>
        <v>11.344204520812683</v>
      </c>
      <c r="N209" s="1">
        <f t="shared" si="7"/>
        <v>0.5387959304827793</v>
      </c>
    </row>
    <row r="210" spans="1:14" x14ac:dyDescent="0.25">
      <c r="A210" s="2" t="s">
        <v>416</v>
      </c>
      <c r="B210" s="2" t="s">
        <v>417</v>
      </c>
      <c r="C210" s="4">
        <v>70.900000000000006</v>
      </c>
      <c r="D210" s="5">
        <v>351803.8125</v>
      </c>
      <c r="E210" s="5">
        <v>370420.625</v>
      </c>
      <c r="F210" s="5">
        <v>427394.65625</v>
      </c>
      <c r="G210" s="3">
        <v>3</v>
      </c>
      <c r="H210" s="3">
        <v>3</v>
      </c>
      <c r="I210" s="3">
        <v>4</v>
      </c>
      <c r="J210" s="6">
        <v>3.203220191470844</v>
      </c>
      <c r="K210" s="6">
        <v>2.9268389662027836</v>
      </c>
      <c r="L210" s="6">
        <v>3.851909994767138</v>
      </c>
      <c r="M210" s="8">
        <f t="shared" si="6"/>
        <v>3.3273230508135883</v>
      </c>
      <c r="N210" s="1">
        <f t="shared" si="7"/>
        <v>0.47485812801832056</v>
      </c>
    </row>
    <row r="211" spans="1:14" x14ac:dyDescent="0.25">
      <c r="A211" s="2" t="s">
        <v>418</v>
      </c>
      <c r="B211" s="2" t="s">
        <v>419</v>
      </c>
      <c r="C211" s="4">
        <v>26.9</v>
      </c>
      <c r="D211" s="5">
        <v>357703.59375</v>
      </c>
      <c r="E211" s="5">
        <v>157807.421875</v>
      </c>
      <c r="F211" s="5">
        <v>111806.5</v>
      </c>
      <c r="G211" s="3">
        <v>5</v>
      </c>
      <c r="H211" s="3">
        <v>5</v>
      </c>
      <c r="I211" s="3">
        <v>5</v>
      </c>
      <c r="J211" s="6">
        <v>5.3387003191180735</v>
      </c>
      <c r="K211" s="6">
        <v>4.8780649436713057</v>
      </c>
      <c r="L211" s="6">
        <v>4.8148874934589223</v>
      </c>
      <c r="M211" s="8">
        <f t="shared" si="6"/>
        <v>5.0105509187494341</v>
      </c>
      <c r="N211" s="1">
        <f t="shared" si="7"/>
        <v>0.28593595310061631</v>
      </c>
    </row>
    <row r="212" spans="1:14" x14ac:dyDescent="0.25">
      <c r="A212" s="2" t="s">
        <v>420</v>
      </c>
      <c r="B212" s="2" t="s">
        <v>421</v>
      </c>
      <c r="C212" s="4">
        <v>25.7</v>
      </c>
      <c r="D212" s="5">
        <v>3139830.75</v>
      </c>
      <c r="E212" s="5">
        <v>6651585.46875</v>
      </c>
      <c r="F212" s="5">
        <v>9899308.53125</v>
      </c>
      <c r="G212" s="3">
        <v>17</v>
      </c>
      <c r="H212" s="3">
        <v>16</v>
      </c>
      <c r="I212" s="3">
        <v>18</v>
      </c>
      <c r="J212" s="6">
        <v>18.15158108500145</v>
      </c>
      <c r="K212" s="6">
        <v>15.609807819748177</v>
      </c>
      <c r="L212" s="6">
        <v>17.333594976452119</v>
      </c>
      <c r="M212" s="8">
        <f t="shared" si="6"/>
        <v>17.031661293733915</v>
      </c>
      <c r="N212" s="1">
        <f t="shared" si="7"/>
        <v>1.2975075316000688</v>
      </c>
    </row>
    <row r="213" spans="1:14" x14ac:dyDescent="0.25">
      <c r="A213" s="2" t="s">
        <v>422</v>
      </c>
      <c r="B213" s="2" t="s">
        <v>423</v>
      </c>
      <c r="C213" s="4">
        <v>35.9</v>
      </c>
      <c r="D213" s="5">
        <v>0</v>
      </c>
      <c r="E213" s="5">
        <v>0</v>
      </c>
      <c r="F213" s="5">
        <v>0</v>
      </c>
      <c r="G213" s="3"/>
      <c r="H213" s="3">
        <v>4</v>
      </c>
      <c r="I213" s="3"/>
      <c r="J213" s="6" t="s">
        <v>986</v>
      </c>
      <c r="K213" s="6">
        <v>3.9024519549370442</v>
      </c>
      <c r="L213" s="6" t="s">
        <v>986</v>
      </c>
      <c r="M213" s="8">
        <f t="shared" si="6"/>
        <v>3.9024519549370442</v>
      </c>
      <c r="N213" s="1" t="e">
        <f t="shared" si="7"/>
        <v>#DIV/0!</v>
      </c>
    </row>
    <row r="214" spans="1:14" x14ac:dyDescent="0.25">
      <c r="A214" s="2" t="s">
        <v>424</v>
      </c>
      <c r="B214" s="2" t="s">
        <v>425</v>
      </c>
      <c r="C214" s="4">
        <v>45.1</v>
      </c>
      <c r="D214" s="5">
        <v>0</v>
      </c>
      <c r="E214" s="5">
        <v>0</v>
      </c>
      <c r="F214" s="5">
        <v>0</v>
      </c>
      <c r="G214" s="3">
        <v>13</v>
      </c>
      <c r="H214" s="3">
        <v>10</v>
      </c>
      <c r="I214" s="3">
        <v>9</v>
      </c>
      <c r="J214" s="6">
        <v>13.880620829706992</v>
      </c>
      <c r="K214" s="6">
        <v>9.7561298873426114</v>
      </c>
      <c r="L214" s="6">
        <v>8.6667974882260594</v>
      </c>
      <c r="M214" s="8">
        <f t="shared" si="6"/>
        <v>10.767849401758554</v>
      </c>
      <c r="N214" s="1">
        <f t="shared" si="7"/>
        <v>2.750212853749761</v>
      </c>
    </row>
    <row r="215" spans="1:14" x14ac:dyDescent="0.25">
      <c r="A215" s="2" t="s">
        <v>426</v>
      </c>
      <c r="B215" s="2" t="s">
        <v>427</v>
      </c>
      <c r="C215" s="4">
        <v>30</v>
      </c>
      <c r="D215" s="5">
        <v>11400137.5</v>
      </c>
      <c r="E215" s="5">
        <v>11286522</v>
      </c>
      <c r="F215" s="5">
        <v>10596184</v>
      </c>
      <c r="G215" s="3">
        <v>55</v>
      </c>
      <c r="H215" s="3">
        <v>58</v>
      </c>
      <c r="I215" s="3">
        <v>64</v>
      </c>
      <c r="J215" s="6">
        <v>58.725703510298814</v>
      </c>
      <c r="K215" s="6">
        <v>56.58555334658714</v>
      </c>
      <c r="L215" s="6">
        <v>61.630559916274208</v>
      </c>
      <c r="M215" s="8">
        <f t="shared" si="6"/>
        <v>58.980605591053383</v>
      </c>
      <c r="N215" s="1">
        <f t="shared" si="7"/>
        <v>2.5321441754225167</v>
      </c>
    </row>
    <row r="216" spans="1:14" x14ac:dyDescent="0.25">
      <c r="A216" s="2" t="s">
        <v>428</v>
      </c>
      <c r="B216" s="2" t="s">
        <v>429</v>
      </c>
      <c r="C216" s="4">
        <v>26.2</v>
      </c>
      <c r="D216" s="5">
        <v>6611817.375</v>
      </c>
      <c r="E216" s="5">
        <v>4436761.75</v>
      </c>
      <c r="F216" s="5">
        <v>6284373.9375</v>
      </c>
      <c r="G216" s="3">
        <v>12</v>
      </c>
      <c r="H216" s="3">
        <v>6</v>
      </c>
      <c r="I216" s="3">
        <v>9</v>
      </c>
      <c r="J216" s="6">
        <v>12.812880765883376</v>
      </c>
      <c r="K216" s="6">
        <v>5.8536779324055672</v>
      </c>
      <c r="L216" s="6">
        <v>8.6667974882260594</v>
      </c>
      <c r="M216" s="8">
        <f t="shared" si="6"/>
        <v>9.1111187288383348</v>
      </c>
      <c r="N216" s="1">
        <f t="shared" si="7"/>
        <v>3.500813054565437</v>
      </c>
    </row>
    <row r="217" spans="1:14" x14ac:dyDescent="0.25">
      <c r="A217" s="2" t="s">
        <v>430</v>
      </c>
      <c r="B217" s="2" t="s">
        <v>431</v>
      </c>
      <c r="C217" s="4">
        <v>29.1</v>
      </c>
      <c r="D217" s="5">
        <v>38303455.40625</v>
      </c>
      <c r="E217" s="5">
        <v>37593038.8984375</v>
      </c>
      <c r="F217" s="5">
        <v>28969441.0625</v>
      </c>
      <c r="G217" s="3">
        <v>36</v>
      </c>
      <c r="H217" s="3">
        <v>40</v>
      </c>
      <c r="I217" s="3">
        <v>36</v>
      </c>
      <c r="J217" s="6">
        <v>38.438642297650134</v>
      </c>
      <c r="K217" s="6">
        <v>39.024519549370446</v>
      </c>
      <c r="L217" s="6">
        <v>34.667189952904238</v>
      </c>
      <c r="M217" s="8">
        <f t="shared" si="6"/>
        <v>37.376783933308275</v>
      </c>
      <c r="N217" s="1">
        <f t="shared" si="7"/>
        <v>2.3647912577016541</v>
      </c>
    </row>
    <row r="218" spans="1:14" x14ac:dyDescent="0.25">
      <c r="A218" s="2" t="s">
        <v>432</v>
      </c>
      <c r="B218" s="2" t="s">
        <v>433</v>
      </c>
      <c r="C218" s="4">
        <v>27.6</v>
      </c>
      <c r="D218" s="5">
        <v>296327.15625</v>
      </c>
      <c r="E218" s="5">
        <v>492195.15625</v>
      </c>
      <c r="F218" s="5">
        <v>417485.125</v>
      </c>
      <c r="G218" s="3">
        <v>6</v>
      </c>
      <c r="H218" s="3">
        <v>7</v>
      </c>
      <c r="I218" s="3">
        <v>6</v>
      </c>
      <c r="J218" s="6">
        <v>6.406440382941688</v>
      </c>
      <c r="K218" s="6">
        <v>6.8292909211398278</v>
      </c>
      <c r="L218" s="6">
        <v>5.7778649921507066</v>
      </c>
      <c r="M218" s="8">
        <f t="shared" si="6"/>
        <v>6.3378654320774075</v>
      </c>
      <c r="N218" s="1">
        <f t="shared" si="7"/>
        <v>0.52905672092147926</v>
      </c>
    </row>
    <row r="219" spans="1:14" x14ac:dyDescent="0.25">
      <c r="A219" s="2" t="s">
        <v>434</v>
      </c>
      <c r="B219" s="2" t="s">
        <v>435</v>
      </c>
      <c r="C219" s="4">
        <v>60.8</v>
      </c>
      <c r="D219" s="5">
        <v>210548.9140625</v>
      </c>
      <c r="E219" s="5">
        <v>649620.25</v>
      </c>
      <c r="F219" s="5">
        <v>1160919.45703125</v>
      </c>
      <c r="G219" s="3">
        <v>3</v>
      </c>
      <c r="H219" s="3">
        <v>4</v>
      </c>
      <c r="I219" s="3">
        <v>3</v>
      </c>
      <c r="J219" s="6">
        <v>3.203220191470844</v>
      </c>
      <c r="K219" s="6">
        <v>3.9024519549370442</v>
      </c>
      <c r="L219" s="6">
        <v>2.8889324960753533</v>
      </c>
      <c r="M219" s="8">
        <f t="shared" si="6"/>
        <v>3.3315348808277476</v>
      </c>
      <c r="N219" s="1">
        <f t="shared" si="7"/>
        <v>0.51880046067962371</v>
      </c>
    </row>
    <row r="220" spans="1:14" x14ac:dyDescent="0.25">
      <c r="A220" s="2" t="s">
        <v>436</v>
      </c>
      <c r="B220" s="2" t="s">
        <v>437</v>
      </c>
      <c r="C220" s="4">
        <v>48.8</v>
      </c>
      <c r="D220" s="5">
        <v>935545.4375</v>
      </c>
      <c r="E220" s="5">
        <v>1056523.78125</v>
      </c>
      <c r="F220" s="5">
        <v>1111181.28125</v>
      </c>
      <c r="G220" s="3">
        <v>3</v>
      </c>
      <c r="H220" s="3">
        <v>4</v>
      </c>
      <c r="I220" s="3">
        <v>3</v>
      </c>
      <c r="J220" s="6">
        <v>3.203220191470844</v>
      </c>
      <c r="K220" s="6">
        <v>3.9024519549370442</v>
      </c>
      <c r="L220" s="6">
        <v>2.8889324960753533</v>
      </c>
      <c r="M220" s="8">
        <f t="shared" si="6"/>
        <v>3.3315348808277476</v>
      </c>
      <c r="N220" s="1">
        <f t="shared" si="7"/>
        <v>0.51880046067962371</v>
      </c>
    </row>
    <row r="221" spans="1:14" x14ac:dyDescent="0.25">
      <c r="A221" s="2" t="s">
        <v>438</v>
      </c>
      <c r="B221" s="2" t="s">
        <v>439</v>
      </c>
      <c r="C221" s="4">
        <v>26</v>
      </c>
      <c r="D221" s="5">
        <v>2172849.4140625</v>
      </c>
      <c r="E221" s="5">
        <v>2359964.3125</v>
      </c>
      <c r="F221" s="5">
        <v>3318584.15625</v>
      </c>
      <c r="G221" s="3">
        <v>6</v>
      </c>
      <c r="H221" s="3">
        <v>9</v>
      </c>
      <c r="I221" s="3">
        <v>9</v>
      </c>
      <c r="J221" s="6">
        <v>6.406440382941688</v>
      </c>
      <c r="K221" s="6">
        <v>8.7805168986083508</v>
      </c>
      <c r="L221" s="6">
        <v>8.6667974882260594</v>
      </c>
      <c r="M221" s="8">
        <f t="shared" si="6"/>
        <v>7.9512515899253664</v>
      </c>
      <c r="N221" s="1">
        <f t="shared" si="7"/>
        <v>1.3390534996747445</v>
      </c>
    </row>
    <row r="222" spans="1:14" x14ac:dyDescent="0.25">
      <c r="A222" s="2" t="s">
        <v>440</v>
      </c>
      <c r="B222" s="2" t="s">
        <v>441</v>
      </c>
      <c r="C222" s="4">
        <v>36.9</v>
      </c>
      <c r="D222" s="5">
        <v>136486843.671875</v>
      </c>
      <c r="E222" s="5">
        <v>119302280.630859</v>
      </c>
      <c r="F222" s="5">
        <v>147467106.57421899</v>
      </c>
      <c r="G222" s="3">
        <v>78</v>
      </c>
      <c r="H222" s="3">
        <v>74</v>
      </c>
      <c r="I222" s="3">
        <v>78</v>
      </c>
      <c r="J222" s="6">
        <v>83.283724978241949</v>
      </c>
      <c r="K222" s="6">
        <v>72.195361166335317</v>
      </c>
      <c r="L222" s="6">
        <v>75.112244897959172</v>
      </c>
      <c r="M222" s="8">
        <f t="shared" si="6"/>
        <v>76.863777014178808</v>
      </c>
      <c r="N222" s="1">
        <f t="shared" si="7"/>
        <v>5.7479432471025476</v>
      </c>
    </row>
    <row r="223" spans="1:14" x14ac:dyDescent="0.25">
      <c r="A223" s="2" t="s">
        <v>442</v>
      </c>
      <c r="B223" s="2" t="s">
        <v>443</v>
      </c>
      <c r="C223" s="4">
        <v>23.9</v>
      </c>
      <c r="D223" s="5">
        <v>7858956.5625</v>
      </c>
      <c r="E223" s="5">
        <v>576604.4375</v>
      </c>
      <c r="F223" s="5">
        <v>617410.0625</v>
      </c>
      <c r="G223" s="3">
        <v>11</v>
      </c>
      <c r="H223" s="3">
        <v>11</v>
      </c>
      <c r="I223" s="3">
        <v>11</v>
      </c>
      <c r="J223" s="6">
        <v>11.745140702059762</v>
      </c>
      <c r="K223" s="6">
        <v>10.731742876076872</v>
      </c>
      <c r="L223" s="6">
        <v>10.592752485609628</v>
      </c>
      <c r="M223" s="8">
        <f t="shared" si="6"/>
        <v>11.023212021248755</v>
      </c>
      <c r="N223" s="1">
        <f t="shared" si="7"/>
        <v>0.62905909682135686</v>
      </c>
    </row>
    <row r="224" spans="1:14" x14ac:dyDescent="0.25">
      <c r="A224" s="2" t="s">
        <v>444</v>
      </c>
      <c r="B224" s="2" t="s">
        <v>445</v>
      </c>
      <c r="C224" s="4">
        <v>12.2</v>
      </c>
      <c r="D224" s="5">
        <v>0</v>
      </c>
      <c r="E224" s="5">
        <v>609856.46875</v>
      </c>
      <c r="F224" s="5">
        <v>0</v>
      </c>
      <c r="G224" s="3"/>
      <c r="H224" s="3">
        <v>21</v>
      </c>
      <c r="I224" s="3"/>
      <c r="J224" s="6" t="s">
        <v>986</v>
      </c>
      <c r="K224" s="6">
        <v>20.487872763419485</v>
      </c>
      <c r="L224" s="6" t="s">
        <v>986</v>
      </c>
      <c r="M224" s="8">
        <f t="shared" si="6"/>
        <v>20.487872763419485</v>
      </c>
      <c r="N224" s="1" t="e">
        <f t="shared" si="7"/>
        <v>#DIV/0!</v>
      </c>
    </row>
    <row r="225" spans="1:14" x14ac:dyDescent="0.25">
      <c r="A225" s="2" t="s">
        <v>446</v>
      </c>
      <c r="B225" s="2" t="s">
        <v>447</v>
      </c>
      <c r="C225" s="4">
        <v>38.4</v>
      </c>
      <c r="D225" s="5">
        <v>643473.375</v>
      </c>
      <c r="E225" s="5">
        <v>512638.234375</v>
      </c>
      <c r="F225" s="5">
        <v>812448.06640625</v>
      </c>
      <c r="G225" s="3">
        <v>3</v>
      </c>
      <c r="H225" s="3">
        <v>3</v>
      </c>
      <c r="I225" s="3">
        <v>3</v>
      </c>
      <c r="J225" s="6">
        <v>3.203220191470844</v>
      </c>
      <c r="K225" s="6">
        <v>2.9268389662027836</v>
      </c>
      <c r="L225" s="6">
        <v>2.8889324960753533</v>
      </c>
      <c r="M225" s="8">
        <f t="shared" si="6"/>
        <v>3.0063305512496608</v>
      </c>
      <c r="N225" s="1">
        <f t="shared" si="7"/>
        <v>0.17156157186036974</v>
      </c>
    </row>
    <row r="226" spans="1:14" x14ac:dyDescent="0.25">
      <c r="A226" s="2" t="s">
        <v>448</v>
      </c>
      <c r="B226" s="2" t="s">
        <v>449</v>
      </c>
      <c r="C226" s="4">
        <v>77.099999999999994</v>
      </c>
      <c r="D226" s="5">
        <v>0</v>
      </c>
      <c r="E226" s="5">
        <v>981424.65625</v>
      </c>
      <c r="F226" s="5">
        <v>1502262.375</v>
      </c>
      <c r="G226" s="3"/>
      <c r="H226" s="3">
        <v>3</v>
      </c>
      <c r="I226" s="3">
        <v>6</v>
      </c>
      <c r="J226" s="6" t="s">
        <v>986</v>
      </c>
      <c r="K226" s="6">
        <v>2.9268389662027836</v>
      </c>
      <c r="L226" s="6">
        <v>5.7778649921507066</v>
      </c>
      <c r="M226" s="8">
        <f t="shared" si="6"/>
        <v>4.3523519791767455</v>
      </c>
      <c r="N226" s="1">
        <f t="shared" si="7"/>
        <v>2.0159798362871078</v>
      </c>
    </row>
    <row r="227" spans="1:14" x14ac:dyDescent="0.25">
      <c r="A227" s="2" t="s">
        <v>450</v>
      </c>
      <c r="B227" s="2" t="s">
        <v>451</v>
      </c>
      <c r="C227" s="4">
        <v>27.6</v>
      </c>
      <c r="D227" s="5">
        <v>341865.75</v>
      </c>
      <c r="E227" s="5">
        <v>677959.1875</v>
      </c>
      <c r="F227" s="5">
        <v>892403.1796875</v>
      </c>
      <c r="G227" s="3">
        <v>4</v>
      </c>
      <c r="H227" s="3">
        <v>4</v>
      </c>
      <c r="I227" s="3">
        <v>4</v>
      </c>
      <c r="J227" s="6">
        <v>4.270960255294459</v>
      </c>
      <c r="K227" s="6">
        <v>3.9024519549370442</v>
      </c>
      <c r="L227" s="6">
        <v>3.851909994767138</v>
      </c>
      <c r="M227" s="8">
        <f t="shared" si="6"/>
        <v>4.0084407349995468</v>
      </c>
      <c r="N227" s="1">
        <f t="shared" si="7"/>
        <v>0.2287487624804932</v>
      </c>
    </row>
    <row r="228" spans="1:14" x14ac:dyDescent="0.25">
      <c r="A228" s="2" t="s">
        <v>452</v>
      </c>
      <c r="B228" s="2" t="s">
        <v>453</v>
      </c>
      <c r="C228" s="4">
        <v>17.8</v>
      </c>
      <c r="D228" s="5">
        <v>2112546.1875</v>
      </c>
      <c r="E228" s="5">
        <v>1188438.1875</v>
      </c>
      <c r="F228" s="5">
        <v>1694788.25</v>
      </c>
      <c r="G228" s="3">
        <v>6</v>
      </c>
      <c r="H228" s="3">
        <v>5</v>
      </c>
      <c r="I228" s="3">
        <v>6</v>
      </c>
      <c r="J228" s="6">
        <v>6.406440382941688</v>
      </c>
      <c r="K228" s="6">
        <v>4.8780649436713057</v>
      </c>
      <c r="L228" s="6">
        <v>5.7778649921507066</v>
      </c>
      <c r="M228" s="8">
        <f t="shared" si="6"/>
        <v>5.6874567729212337</v>
      </c>
      <c r="N228" s="1">
        <f t="shared" si="7"/>
        <v>0.76818819661552495</v>
      </c>
    </row>
    <row r="229" spans="1:14" x14ac:dyDescent="0.25">
      <c r="A229" s="2" t="s">
        <v>454</v>
      </c>
      <c r="B229" s="2" t="s">
        <v>455</v>
      </c>
      <c r="C229" s="4">
        <v>69.2</v>
      </c>
      <c r="D229" s="5">
        <v>481961.3125</v>
      </c>
      <c r="E229" s="5">
        <v>493801.09375</v>
      </c>
      <c r="F229" s="5">
        <v>783912.4375</v>
      </c>
      <c r="G229" s="3">
        <v>7</v>
      </c>
      <c r="H229" s="3">
        <v>10</v>
      </c>
      <c r="I229" s="3">
        <v>14</v>
      </c>
      <c r="J229" s="6">
        <v>7.4741804467653035</v>
      </c>
      <c r="K229" s="6">
        <v>9.7561298873426114</v>
      </c>
      <c r="L229" s="6">
        <v>13.481684981684982</v>
      </c>
      <c r="M229" s="8">
        <f t="shared" si="6"/>
        <v>10.237331771930966</v>
      </c>
      <c r="N229" s="1">
        <f t="shared" si="7"/>
        <v>3.0325227327373243</v>
      </c>
    </row>
    <row r="230" spans="1:14" x14ac:dyDescent="0.25">
      <c r="A230" s="2" t="s">
        <v>456</v>
      </c>
      <c r="B230" s="2" t="s">
        <v>457</v>
      </c>
      <c r="C230" s="4">
        <v>30.6</v>
      </c>
      <c r="D230" s="5">
        <v>15121466.6875</v>
      </c>
      <c r="E230" s="5">
        <v>9962277.9453125</v>
      </c>
      <c r="F230" s="5">
        <v>11158441.8359375</v>
      </c>
      <c r="G230" s="3">
        <v>30</v>
      </c>
      <c r="H230" s="3">
        <v>29</v>
      </c>
      <c r="I230" s="3">
        <v>31</v>
      </c>
      <c r="J230" s="6">
        <v>32.032201914708438</v>
      </c>
      <c r="K230" s="6">
        <v>28.29277667329357</v>
      </c>
      <c r="L230" s="6">
        <v>29.852302459445315</v>
      </c>
      <c r="M230" s="8">
        <f t="shared" si="6"/>
        <v>30.059093682482441</v>
      </c>
      <c r="N230" s="1">
        <f t="shared" si="7"/>
        <v>1.8782697467287686</v>
      </c>
    </row>
    <row r="231" spans="1:14" x14ac:dyDescent="0.25">
      <c r="A231" s="2" t="s">
        <v>458</v>
      </c>
      <c r="B231" s="2" t="s">
        <v>459</v>
      </c>
      <c r="C231" s="4">
        <v>16.399999999999999</v>
      </c>
      <c r="D231" s="5">
        <v>2981220.25</v>
      </c>
      <c r="E231" s="5">
        <v>1611980.25</v>
      </c>
      <c r="F231" s="5">
        <v>2700902.75</v>
      </c>
      <c r="G231" s="3">
        <v>35</v>
      </c>
      <c r="H231" s="3">
        <v>31</v>
      </c>
      <c r="I231" s="3">
        <v>29</v>
      </c>
      <c r="J231" s="6">
        <v>37.37090223382652</v>
      </c>
      <c r="K231" s="6">
        <v>30.244002650762091</v>
      </c>
      <c r="L231" s="6">
        <v>27.926347462061745</v>
      </c>
      <c r="M231" s="8">
        <f t="shared" si="6"/>
        <v>31.847084115550118</v>
      </c>
      <c r="N231" s="1">
        <f t="shared" si="7"/>
        <v>4.922124170140008</v>
      </c>
    </row>
    <row r="232" spans="1:14" x14ac:dyDescent="0.25">
      <c r="A232" s="2" t="s">
        <v>460</v>
      </c>
      <c r="B232" s="2" t="s">
        <v>461</v>
      </c>
      <c r="C232" s="4">
        <v>19.7</v>
      </c>
      <c r="D232" s="5">
        <v>92012634.5</v>
      </c>
      <c r="E232" s="5">
        <v>77285736.25</v>
      </c>
      <c r="F232" s="5">
        <v>104967113.5</v>
      </c>
      <c r="G232" s="3">
        <v>37</v>
      </c>
      <c r="H232" s="3">
        <v>44</v>
      </c>
      <c r="I232" s="3">
        <v>44</v>
      </c>
      <c r="J232" s="6">
        <v>39.506382361473747</v>
      </c>
      <c r="K232" s="6">
        <v>42.926971504307488</v>
      </c>
      <c r="L232" s="6">
        <v>42.371009942438512</v>
      </c>
      <c r="M232" s="8">
        <f t="shared" si="6"/>
        <v>41.601454602739921</v>
      </c>
      <c r="N232" s="1">
        <f t="shared" si="7"/>
        <v>1.8355568873401835</v>
      </c>
    </row>
    <row r="233" spans="1:14" x14ac:dyDescent="0.25">
      <c r="A233" s="2" t="s">
        <v>462</v>
      </c>
      <c r="B233" s="2" t="s">
        <v>463</v>
      </c>
      <c r="C233" s="4">
        <v>49.3</v>
      </c>
      <c r="D233" s="5">
        <v>3186080.1875</v>
      </c>
      <c r="E233" s="5">
        <v>2171702.15625</v>
      </c>
      <c r="F233" s="5">
        <v>6444331.0625</v>
      </c>
      <c r="G233" s="3">
        <v>72</v>
      </c>
      <c r="H233" s="3">
        <v>77</v>
      </c>
      <c r="I233" s="3">
        <v>88</v>
      </c>
      <c r="J233" s="6">
        <v>76.877284595300267</v>
      </c>
      <c r="K233" s="6">
        <v>75.122200132538111</v>
      </c>
      <c r="L233" s="6">
        <v>84.742019884877024</v>
      </c>
      <c r="M233" s="8">
        <f t="shared" si="6"/>
        <v>78.913834870905134</v>
      </c>
      <c r="N233" s="1">
        <f t="shared" si="7"/>
        <v>5.1230738610400852</v>
      </c>
    </row>
    <row r="234" spans="1:14" x14ac:dyDescent="0.25">
      <c r="A234" s="2" t="s">
        <v>464</v>
      </c>
      <c r="B234" s="2" t="s">
        <v>465</v>
      </c>
      <c r="C234" s="4">
        <v>46.7</v>
      </c>
      <c r="D234" s="5">
        <v>2596430.765625</v>
      </c>
      <c r="E234" s="5">
        <v>2521201.7421875</v>
      </c>
      <c r="F234" s="5">
        <v>1302035.4140625</v>
      </c>
      <c r="G234" s="3">
        <v>4</v>
      </c>
      <c r="H234" s="3">
        <v>4</v>
      </c>
      <c r="I234" s="3">
        <v>4</v>
      </c>
      <c r="J234" s="6">
        <v>4.270960255294459</v>
      </c>
      <c r="K234" s="6">
        <v>3.9024519549370442</v>
      </c>
      <c r="L234" s="6">
        <v>3.851909994767138</v>
      </c>
      <c r="M234" s="8">
        <f t="shared" si="6"/>
        <v>4.0084407349995468</v>
      </c>
      <c r="N234" s="1">
        <f t="shared" si="7"/>
        <v>0.2287487624804932</v>
      </c>
    </row>
    <row r="235" spans="1:14" x14ac:dyDescent="0.25">
      <c r="A235" s="2" t="s">
        <v>466</v>
      </c>
      <c r="B235" s="2" t="s">
        <v>467</v>
      </c>
      <c r="C235" s="4">
        <v>30.6</v>
      </c>
      <c r="D235" s="5">
        <v>1485445.9375</v>
      </c>
      <c r="E235" s="5">
        <v>1960465.34375</v>
      </c>
      <c r="F235" s="5">
        <v>1805280.46875</v>
      </c>
      <c r="G235" s="3">
        <v>4</v>
      </c>
      <c r="H235" s="3">
        <v>5</v>
      </c>
      <c r="I235" s="3">
        <v>5</v>
      </c>
      <c r="J235" s="6">
        <v>4.270960255294459</v>
      </c>
      <c r="K235" s="6">
        <v>4.8780649436713057</v>
      </c>
      <c r="L235" s="6">
        <v>4.8148874934589223</v>
      </c>
      <c r="M235" s="8">
        <f t="shared" si="6"/>
        <v>4.654637564141562</v>
      </c>
      <c r="N235" s="1">
        <f t="shared" si="7"/>
        <v>0.3337724607377775</v>
      </c>
    </row>
    <row r="236" spans="1:14" x14ac:dyDescent="0.25">
      <c r="A236" s="2" t="s">
        <v>468</v>
      </c>
      <c r="B236" s="2" t="s">
        <v>469</v>
      </c>
      <c r="C236" s="4">
        <v>35.299999999999997</v>
      </c>
      <c r="D236" s="5">
        <v>1867736.28125</v>
      </c>
      <c r="E236" s="5">
        <v>1566354.59375</v>
      </c>
      <c r="F236" s="5">
        <v>1701496.75</v>
      </c>
      <c r="G236" s="3">
        <v>5</v>
      </c>
      <c r="H236" s="3">
        <v>5</v>
      </c>
      <c r="I236" s="3">
        <v>4</v>
      </c>
      <c r="J236" s="6">
        <v>5.3387003191180735</v>
      </c>
      <c r="K236" s="6">
        <v>4.8780649436713057</v>
      </c>
      <c r="L236" s="6">
        <v>3.851909994767138</v>
      </c>
      <c r="M236" s="8">
        <f t="shared" si="6"/>
        <v>4.6895584191855058</v>
      </c>
      <c r="N236" s="1">
        <f t="shared" si="7"/>
        <v>0.76110932163269363</v>
      </c>
    </row>
    <row r="237" spans="1:14" x14ac:dyDescent="0.25">
      <c r="A237" s="2" t="s">
        <v>470</v>
      </c>
      <c r="B237" s="2" t="s">
        <v>471</v>
      </c>
      <c r="C237" s="4">
        <v>73</v>
      </c>
      <c r="D237" s="5">
        <v>879505.84375</v>
      </c>
      <c r="E237" s="5">
        <v>216096.046875</v>
      </c>
      <c r="F237" s="5">
        <v>1069756.5</v>
      </c>
      <c r="G237" s="3">
        <v>12</v>
      </c>
      <c r="H237" s="3">
        <v>10</v>
      </c>
      <c r="I237" s="3">
        <v>10</v>
      </c>
      <c r="J237" s="6">
        <v>12.812880765883376</v>
      </c>
      <c r="K237" s="6">
        <v>9.7561298873426114</v>
      </c>
      <c r="L237" s="6">
        <v>9.6297749869178446</v>
      </c>
      <c r="M237" s="8">
        <f t="shared" si="6"/>
        <v>10.732928546714611</v>
      </c>
      <c r="N237" s="1">
        <f t="shared" si="7"/>
        <v>1.8023990445331868</v>
      </c>
    </row>
    <row r="238" spans="1:14" x14ac:dyDescent="0.25">
      <c r="A238" s="2" t="s">
        <v>472</v>
      </c>
      <c r="B238" s="2" t="s">
        <v>473</v>
      </c>
      <c r="C238" s="4">
        <v>16.2</v>
      </c>
      <c r="D238" s="5">
        <v>64468793.546875</v>
      </c>
      <c r="E238" s="5">
        <v>69259532.5625</v>
      </c>
      <c r="F238" s="5">
        <v>117116633.65625</v>
      </c>
      <c r="G238" s="3">
        <v>21</v>
      </c>
      <c r="H238" s="3">
        <v>19</v>
      </c>
      <c r="I238" s="3">
        <v>19</v>
      </c>
      <c r="J238" s="6">
        <v>22.422541340295911</v>
      </c>
      <c r="K238" s="6">
        <v>18.53664678595096</v>
      </c>
      <c r="L238" s="6">
        <v>18.296572475143904</v>
      </c>
      <c r="M238" s="8">
        <f t="shared" si="6"/>
        <v>19.751920200463591</v>
      </c>
      <c r="N238" s="1">
        <f t="shared" si="7"/>
        <v>2.3159386591761941</v>
      </c>
    </row>
    <row r="239" spans="1:14" x14ac:dyDescent="0.25">
      <c r="A239" s="2" t="s">
        <v>474</v>
      </c>
      <c r="B239" s="2" t="s">
        <v>475</v>
      </c>
      <c r="C239" s="4">
        <v>34.200000000000003</v>
      </c>
      <c r="D239" s="5">
        <v>3516363.578125</v>
      </c>
      <c r="E239" s="5">
        <v>2973635.703125</v>
      </c>
      <c r="F239" s="5">
        <v>4244633.7578125</v>
      </c>
      <c r="G239" s="3">
        <v>22</v>
      </c>
      <c r="H239" s="3">
        <v>25</v>
      </c>
      <c r="I239" s="3">
        <v>30</v>
      </c>
      <c r="J239" s="6">
        <v>23.490281404119525</v>
      </c>
      <c r="K239" s="6">
        <v>24.390324718356528</v>
      </c>
      <c r="L239" s="6">
        <v>28.88932496075353</v>
      </c>
      <c r="M239" s="8">
        <f t="shared" si="6"/>
        <v>25.589977027743192</v>
      </c>
      <c r="N239" s="1">
        <f t="shared" si="7"/>
        <v>2.8925407653428783</v>
      </c>
    </row>
    <row r="240" spans="1:14" x14ac:dyDescent="0.25">
      <c r="A240" s="2" t="s">
        <v>476</v>
      </c>
      <c r="B240" s="2" t="s">
        <v>477</v>
      </c>
      <c r="C240" s="4">
        <v>64.900000000000006</v>
      </c>
      <c r="D240" s="5">
        <v>1188010.25</v>
      </c>
      <c r="E240" s="5">
        <v>1107508.5</v>
      </c>
      <c r="F240" s="5">
        <v>1096712.375</v>
      </c>
      <c r="G240" s="3">
        <v>17</v>
      </c>
      <c r="H240" s="3">
        <v>18</v>
      </c>
      <c r="I240" s="3">
        <v>16</v>
      </c>
      <c r="J240" s="6">
        <v>18.15158108500145</v>
      </c>
      <c r="K240" s="6">
        <v>17.561033797216702</v>
      </c>
      <c r="L240" s="6">
        <v>15.407639979068552</v>
      </c>
      <c r="M240" s="8">
        <f t="shared" si="6"/>
        <v>17.040084953762232</v>
      </c>
      <c r="N240" s="1">
        <f t="shared" si="7"/>
        <v>1.4442451216221828</v>
      </c>
    </row>
    <row r="241" spans="1:14" x14ac:dyDescent="0.25">
      <c r="A241" s="2" t="s">
        <v>478</v>
      </c>
      <c r="B241" s="2" t="s">
        <v>479</v>
      </c>
      <c r="C241" s="4">
        <v>71.099999999999994</v>
      </c>
      <c r="D241" s="5">
        <v>870033.5625</v>
      </c>
      <c r="E241" s="5">
        <v>1087377.125</v>
      </c>
      <c r="F241" s="5">
        <v>137492.453125</v>
      </c>
      <c r="G241" s="3">
        <v>10</v>
      </c>
      <c r="H241" s="3">
        <v>9</v>
      </c>
      <c r="I241" s="3">
        <v>8</v>
      </c>
      <c r="J241" s="6">
        <v>10.677400638236147</v>
      </c>
      <c r="K241" s="6">
        <v>8.7805168986083508</v>
      </c>
      <c r="L241" s="6">
        <v>7.703819989534276</v>
      </c>
      <c r="M241" s="8">
        <f t="shared" si="6"/>
        <v>9.0539125087929246</v>
      </c>
      <c r="N241" s="1">
        <f t="shared" si="7"/>
        <v>1.505524605688904</v>
      </c>
    </row>
    <row r="242" spans="1:14" x14ac:dyDescent="0.25">
      <c r="A242" s="2" t="s">
        <v>480</v>
      </c>
      <c r="B242" s="2" t="s">
        <v>481</v>
      </c>
      <c r="C242" s="4">
        <v>15.4</v>
      </c>
      <c r="D242" s="5">
        <v>6926472.1875</v>
      </c>
      <c r="E242" s="5">
        <v>18603852.3125</v>
      </c>
      <c r="F242" s="5">
        <v>19647638.75</v>
      </c>
      <c r="G242" s="3">
        <v>11</v>
      </c>
      <c r="H242" s="3">
        <v>14</v>
      </c>
      <c r="I242" s="3">
        <v>13</v>
      </c>
      <c r="J242" s="6">
        <v>11.745140702059762</v>
      </c>
      <c r="K242" s="6">
        <v>13.658581842279656</v>
      </c>
      <c r="L242" s="6">
        <v>12.518707482993197</v>
      </c>
      <c r="M242" s="8">
        <f t="shared" si="6"/>
        <v>12.64081000911087</v>
      </c>
      <c r="N242" s="1">
        <f t="shared" si="7"/>
        <v>0.96254663234294235</v>
      </c>
    </row>
    <row r="243" spans="1:14" x14ac:dyDescent="0.25">
      <c r="A243" s="2" t="s">
        <v>482</v>
      </c>
      <c r="B243" s="2" t="s">
        <v>483</v>
      </c>
      <c r="C243" s="4">
        <v>15.4</v>
      </c>
      <c r="D243" s="5">
        <v>1016031.9375</v>
      </c>
      <c r="E243" s="5">
        <v>869414.4375</v>
      </c>
      <c r="F243" s="5">
        <v>973952.0625</v>
      </c>
      <c r="G243" s="3">
        <v>7</v>
      </c>
      <c r="H243" s="3">
        <v>8</v>
      </c>
      <c r="I243" s="3">
        <v>7</v>
      </c>
      <c r="J243" s="6">
        <v>7.4741804467653035</v>
      </c>
      <c r="K243" s="6">
        <v>7.8049039098740884</v>
      </c>
      <c r="L243" s="6">
        <v>6.7408424908424909</v>
      </c>
      <c r="M243" s="8">
        <f t="shared" si="6"/>
        <v>7.3399756158272949</v>
      </c>
      <c r="N243" s="1">
        <f t="shared" si="7"/>
        <v>0.5445777064416143</v>
      </c>
    </row>
    <row r="244" spans="1:14" x14ac:dyDescent="0.25">
      <c r="A244" s="2" t="s">
        <v>484</v>
      </c>
      <c r="B244" s="2" t="s">
        <v>485</v>
      </c>
      <c r="C244" s="4">
        <v>22.7</v>
      </c>
      <c r="D244" s="5">
        <v>1704771.53125</v>
      </c>
      <c r="E244" s="5">
        <v>1180434.96875</v>
      </c>
      <c r="F244" s="5">
        <v>1734735.25</v>
      </c>
      <c r="G244" s="3">
        <v>5</v>
      </c>
      <c r="H244" s="3">
        <v>4</v>
      </c>
      <c r="I244" s="3">
        <v>5</v>
      </c>
      <c r="J244" s="6">
        <v>5.3387003191180735</v>
      </c>
      <c r="K244" s="6">
        <v>3.9024519549370442</v>
      </c>
      <c r="L244" s="6">
        <v>4.8148874934589223</v>
      </c>
      <c r="M244" s="8">
        <f t="shared" si="6"/>
        <v>4.6853465891713464</v>
      </c>
      <c r="N244" s="1">
        <f t="shared" si="7"/>
        <v>0.72683421446427876</v>
      </c>
    </row>
    <row r="245" spans="1:14" x14ac:dyDescent="0.25">
      <c r="A245" s="2" t="s">
        <v>486</v>
      </c>
      <c r="B245" s="2" t="s">
        <v>487</v>
      </c>
      <c r="C245" s="4">
        <v>52.7</v>
      </c>
      <c r="D245" s="5">
        <v>0</v>
      </c>
      <c r="E245" s="5">
        <v>1139806.421875</v>
      </c>
      <c r="F245" s="5">
        <v>0</v>
      </c>
      <c r="G245" s="3"/>
      <c r="H245" s="3">
        <v>3</v>
      </c>
      <c r="I245" s="3"/>
      <c r="J245" s="6" t="s">
        <v>986</v>
      </c>
      <c r="K245" s="6">
        <v>2.9268389662027836</v>
      </c>
      <c r="L245" s="6" t="s">
        <v>986</v>
      </c>
      <c r="M245" s="8">
        <f t="shared" si="6"/>
        <v>2.9268389662027836</v>
      </c>
      <c r="N245" s="1" t="e">
        <f t="shared" si="7"/>
        <v>#DIV/0!</v>
      </c>
    </row>
    <row r="246" spans="1:14" x14ac:dyDescent="0.25">
      <c r="A246" s="2" t="s">
        <v>488</v>
      </c>
      <c r="B246" s="2" t="s">
        <v>489</v>
      </c>
      <c r="C246" s="4">
        <v>13.1</v>
      </c>
      <c r="D246" s="5">
        <v>3626307.3125</v>
      </c>
      <c r="E246" s="5">
        <v>3454728.0625</v>
      </c>
      <c r="F246" s="5">
        <v>5758070.59375</v>
      </c>
      <c r="G246" s="3">
        <v>6</v>
      </c>
      <c r="H246" s="3">
        <v>5</v>
      </c>
      <c r="I246" s="3">
        <v>6</v>
      </c>
      <c r="J246" s="6">
        <v>6.406440382941688</v>
      </c>
      <c r="K246" s="6">
        <v>4.8780649436713057</v>
      </c>
      <c r="L246" s="6">
        <v>5.7778649921507066</v>
      </c>
      <c r="M246" s="8">
        <f t="shared" si="6"/>
        <v>5.6874567729212337</v>
      </c>
      <c r="N246" s="1">
        <f t="shared" si="7"/>
        <v>0.76818819661552495</v>
      </c>
    </row>
    <row r="247" spans="1:14" x14ac:dyDescent="0.25">
      <c r="A247" s="2" t="s">
        <v>490</v>
      </c>
      <c r="B247" s="2" t="s">
        <v>491</v>
      </c>
      <c r="C247" s="4">
        <v>16.3</v>
      </c>
      <c r="D247" s="5">
        <v>1613722.90625</v>
      </c>
      <c r="E247" s="5">
        <v>678004.9375</v>
      </c>
      <c r="F247" s="5">
        <v>642058.8125</v>
      </c>
      <c r="G247" s="3">
        <v>8</v>
      </c>
      <c r="H247" s="3">
        <v>10</v>
      </c>
      <c r="I247" s="3">
        <v>13</v>
      </c>
      <c r="J247" s="6">
        <v>8.541920510588918</v>
      </c>
      <c r="K247" s="6">
        <v>9.7561298873426114</v>
      </c>
      <c r="L247" s="6">
        <v>12.518707482993197</v>
      </c>
      <c r="M247" s="8">
        <f t="shared" si="6"/>
        <v>10.272252626974909</v>
      </c>
      <c r="N247" s="1">
        <f t="shared" si="7"/>
        <v>2.0380126760511725</v>
      </c>
    </row>
    <row r="248" spans="1:14" x14ac:dyDescent="0.25">
      <c r="A248" s="2" t="s">
        <v>492</v>
      </c>
      <c r="B248" s="2" t="s">
        <v>493</v>
      </c>
      <c r="C248" s="4">
        <v>56.4</v>
      </c>
      <c r="D248" s="5">
        <v>8929565.03515625</v>
      </c>
      <c r="E248" s="5">
        <v>3861587.1640625</v>
      </c>
      <c r="F248" s="5">
        <v>8873088.265625</v>
      </c>
      <c r="G248" s="3">
        <v>13</v>
      </c>
      <c r="H248" s="3">
        <v>14</v>
      </c>
      <c r="I248" s="3">
        <v>15</v>
      </c>
      <c r="J248" s="6">
        <v>13.880620829706992</v>
      </c>
      <c r="K248" s="6">
        <v>13.658581842279656</v>
      </c>
      <c r="L248" s="6">
        <v>14.444662480376765</v>
      </c>
      <c r="M248" s="8">
        <f t="shared" si="6"/>
        <v>13.994621717454471</v>
      </c>
      <c r="N248" s="1">
        <f t="shared" si="7"/>
        <v>0.40525034756703138</v>
      </c>
    </row>
    <row r="249" spans="1:14" x14ac:dyDescent="0.25">
      <c r="A249" s="2" t="s">
        <v>494</v>
      </c>
      <c r="B249" s="2" t="s">
        <v>495</v>
      </c>
      <c r="C249" s="4">
        <v>19.100000000000001</v>
      </c>
      <c r="D249" s="5">
        <v>1025817</v>
      </c>
      <c r="E249" s="5">
        <v>751631.9375</v>
      </c>
      <c r="F249" s="5">
        <v>952351.375</v>
      </c>
      <c r="G249" s="3">
        <v>26</v>
      </c>
      <c r="H249" s="3">
        <v>21</v>
      </c>
      <c r="I249" s="3">
        <v>28</v>
      </c>
      <c r="J249" s="6">
        <v>27.761241659413983</v>
      </c>
      <c r="K249" s="6">
        <v>20.487872763419485</v>
      </c>
      <c r="L249" s="6">
        <v>26.963369963369964</v>
      </c>
      <c r="M249" s="8">
        <f t="shared" si="6"/>
        <v>25.07082812873448</v>
      </c>
      <c r="N249" s="1">
        <f t="shared" si="7"/>
        <v>3.9889547153595282</v>
      </c>
    </row>
    <row r="250" spans="1:14" x14ac:dyDescent="0.25">
      <c r="A250" s="2" t="s">
        <v>496</v>
      </c>
      <c r="B250" s="2" t="s">
        <v>497</v>
      </c>
      <c r="C250" s="4">
        <v>40</v>
      </c>
      <c r="D250" s="5">
        <v>1667928.953125</v>
      </c>
      <c r="E250" s="5">
        <v>943306.578125</v>
      </c>
      <c r="F250" s="5">
        <v>1112333.5</v>
      </c>
      <c r="G250" s="3">
        <v>7</v>
      </c>
      <c r="H250" s="3">
        <v>4</v>
      </c>
      <c r="I250" s="3">
        <v>4</v>
      </c>
      <c r="J250" s="6">
        <v>7.4741804467653035</v>
      </c>
      <c r="K250" s="6">
        <v>3.9024519549370442</v>
      </c>
      <c r="L250" s="6">
        <v>3.851909994767138</v>
      </c>
      <c r="M250" s="8">
        <f t="shared" si="6"/>
        <v>5.0761807988231622</v>
      </c>
      <c r="N250" s="1">
        <f t="shared" si="7"/>
        <v>2.0768823645267998</v>
      </c>
    </row>
    <row r="251" spans="1:14" x14ac:dyDescent="0.25">
      <c r="A251" s="2" t="s">
        <v>498</v>
      </c>
      <c r="B251" s="2" t="s">
        <v>499</v>
      </c>
      <c r="C251" s="4">
        <v>15.3</v>
      </c>
      <c r="D251" s="5">
        <v>27711721.71875</v>
      </c>
      <c r="E251" s="5">
        <v>25191769.390625</v>
      </c>
      <c r="F251" s="5">
        <v>26311231.46875</v>
      </c>
      <c r="G251" s="3">
        <v>17</v>
      </c>
      <c r="H251" s="3">
        <v>19</v>
      </c>
      <c r="I251" s="3">
        <v>19</v>
      </c>
      <c r="J251" s="6">
        <v>18.15158108500145</v>
      </c>
      <c r="K251" s="6">
        <v>18.53664678595096</v>
      </c>
      <c r="L251" s="6">
        <v>18.296572475143904</v>
      </c>
      <c r="M251" s="8">
        <f t="shared" si="6"/>
        <v>18.328266782032106</v>
      </c>
      <c r="N251" s="1">
        <f t="shared" si="7"/>
        <v>0.19447954989863875</v>
      </c>
    </row>
    <row r="252" spans="1:14" x14ac:dyDescent="0.25">
      <c r="A252" s="2" t="s">
        <v>500</v>
      </c>
      <c r="B252" s="2" t="s">
        <v>501</v>
      </c>
      <c r="C252" s="4">
        <v>9.6</v>
      </c>
      <c r="D252" s="5">
        <v>20819814</v>
      </c>
      <c r="E252" s="5">
        <v>17333922</v>
      </c>
      <c r="F252" s="5">
        <v>25208480</v>
      </c>
      <c r="G252" s="3">
        <v>11</v>
      </c>
      <c r="H252" s="3">
        <v>9</v>
      </c>
      <c r="I252" s="3">
        <v>11</v>
      </c>
      <c r="J252" s="6">
        <v>11.745140702059762</v>
      </c>
      <c r="K252" s="6">
        <v>8.7805168986083508</v>
      </c>
      <c r="L252" s="6">
        <v>10.592752485609628</v>
      </c>
      <c r="M252" s="8">
        <f t="shared" si="6"/>
        <v>10.372803362092581</v>
      </c>
      <c r="N252" s="1">
        <f t="shared" si="7"/>
        <v>1.494500514118217</v>
      </c>
    </row>
    <row r="253" spans="1:14" x14ac:dyDescent="0.25">
      <c r="A253" s="2" t="s">
        <v>502</v>
      </c>
      <c r="B253" s="2" t="s">
        <v>503</v>
      </c>
      <c r="C253" s="4">
        <v>22.8</v>
      </c>
      <c r="D253" s="5">
        <v>9464722.5</v>
      </c>
      <c r="E253" s="5">
        <v>4327706.15625</v>
      </c>
      <c r="F253" s="5">
        <v>61737393.019531302</v>
      </c>
      <c r="G253" s="3">
        <v>39</v>
      </c>
      <c r="H253" s="3">
        <v>37</v>
      </c>
      <c r="I253" s="3">
        <v>37</v>
      </c>
      <c r="J253" s="6">
        <v>41.641862489120975</v>
      </c>
      <c r="K253" s="6">
        <v>36.097680583167659</v>
      </c>
      <c r="L253" s="6">
        <v>35.630167451596023</v>
      </c>
      <c r="M253" s="8">
        <f t="shared" si="6"/>
        <v>37.789903507961547</v>
      </c>
      <c r="N253" s="1">
        <f t="shared" si="7"/>
        <v>3.3440743302817046</v>
      </c>
    </row>
    <row r="254" spans="1:14" x14ac:dyDescent="0.25">
      <c r="A254" s="2" t="s">
        <v>504</v>
      </c>
      <c r="B254" s="2" t="s">
        <v>505</v>
      </c>
      <c r="C254" s="4">
        <v>34.5</v>
      </c>
      <c r="D254" s="5">
        <v>4996492.625</v>
      </c>
      <c r="E254" s="5">
        <v>4252830.078125</v>
      </c>
      <c r="F254" s="5">
        <v>4699113.078125</v>
      </c>
      <c r="G254" s="3">
        <v>14</v>
      </c>
      <c r="H254" s="3">
        <v>13</v>
      </c>
      <c r="I254" s="3">
        <v>16</v>
      </c>
      <c r="J254" s="6">
        <v>14.948360893530607</v>
      </c>
      <c r="K254" s="6">
        <v>12.682968853545393</v>
      </c>
      <c r="L254" s="6">
        <v>15.407639979068552</v>
      </c>
      <c r="M254" s="8">
        <f t="shared" si="6"/>
        <v>14.346323242048186</v>
      </c>
      <c r="N254" s="1">
        <f t="shared" si="7"/>
        <v>1.4586963995008566</v>
      </c>
    </row>
    <row r="255" spans="1:14" x14ac:dyDescent="0.25">
      <c r="A255" s="2" t="s">
        <v>506</v>
      </c>
      <c r="B255" s="2" t="s">
        <v>507</v>
      </c>
      <c r="C255" s="4">
        <v>56</v>
      </c>
      <c r="D255" s="5">
        <v>7927090.6875</v>
      </c>
      <c r="E255" s="5">
        <v>6728606.875</v>
      </c>
      <c r="F255" s="5">
        <v>10423416.6875</v>
      </c>
      <c r="G255" s="3">
        <v>20</v>
      </c>
      <c r="H255" s="3">
        <v>21</v>
      </c>
      <c r="I255" s="3">
        <v>20</v>
      </c>
      <c r="J255" s="6">
        <v>21.354801276472294</v>
      </c>
      <c r="K255" s="6">
        <v>20.487872763419485</v>
      </c>
      <c r="L255" s="6">
        <v>19.259549973835689</v>
      </c>
      <c r="M255" s="8">
        <f t="shared" si="6"/>
        <v>20.367408004575822</v>
      </c>
      <c r="N255" s="1">
        <f t="shared" si="7"/>
        <v>1.0528073536466886</v>
      </c>
    </row>
    <row r="256" spans="1:14" x14ac:dyDescent="0.25">
      <c r="A256" s="2" t="s">
        <v>508</v>
      </c>
      <c r="B256" s="2" t="s">
        <v>509</v>
      </c>
      <c r="C256" s="4">
        <v>16.5</v>
      </c>
      <c r="D256" s="5">
        <v>465782.125</v>
      </c>
      <c r="E256" s="5">
        <v>2452348</v>
      </c>
      <c r="F256" s="5">
        <v>875562.0625</v>
      </c>
      <c r="G256" s="3">
        <v>4</v>
      </c>
      <c r="H256" s="3">
        <v>10</v>
      </c>
      <c r="I256" s="3">
        <v>10</v>
      </c>
      <c r="J256" s="6">
        <v>4.270960255294459</v>
      </c>
      <c r="K256" s="6">
        <v>9.7561298873426114</v>
      </c>
      <c r="L256" s="6">
        <v>9.6297749869178446</v>
      </c>
      <c r="M256" s="8">
        <f t="shared" si="6"/>
        <v>7.8856217098516384</v>
      </c>
      <c r="N256" s="1">
        <f t="shared" si="7"/>
        <v>3.1310261039332459</v>
      </c>
    </row>
    <row r="257" spans="1:14" x14ac:dyDescent="0.25">
      <c r="A257" s="2" t="s">
        <v>510</v>
      </c>
      <c r="B257" s="2" t="s">
        <v>511</v>
      </c>
      <c r="C257" s="4">
        <v>24</v>
      </c>
      <c r="D257" s="5">
        <v>67999622.03125</v>
      </c>
      <c r="E257" s="5">
        <v>59042731.71875</v>
      </c>
      <c r="F257" s="5">
        <v>64596944.34375</v>
      </c>
      <c r="G257" s="3">
        <v>34</v>
      </c>
      <c r="H257" s="3">
        <v>45</v>
      </c>
      <c r="I257" s="3">
        <v>56</v>
      </c>
      <c r="J257" s="6">
        <v>36.303162170002899</v>
      </c>
      <c r="K257" s="6">
        <v>43.902584493041751</v>
      </c>
      <c r="L257" s="6">
        <v>53.926739926739927</v>
      </c>
      <c r="M257" s="8">
        <f t="shared" si="6"/>
        <v>44.710828863261526</v>
      </c>
      <c r="N257" s="1">
        <f t="shared" si="7"/>
        <v>8.8395456590501773</v>
      </c>
    </row>
    <row r="258" spans="1:14" x14ac:dyDescent="0.25">
      <c r="A258" s="2" t="s">
        <v>512</v>
      </c>
      <c r="B258" s="2" t="s">
        <v>513</v>
      </c>
      <c r="C258" s="4">
        <v>38.4</v>
      </c>
      <c r="D258" s="5">
        <v>0</v>
      </c>
      <c r="E258" s="5">
        <v>214755.28125</v>
      </c>
      <c r="F258" s="5">
        <v>0</v>
      </c>
      <c r="G258" s="3"/>
      <c r="H258" s="3">
        <v>7</v>
      </c>
      <c r="I258" s="3"/>
      <c r="J258" s="6" t="s">
        <v>986</v>
      </c>
      <c r="K258" s="6">
        <v>6.8292909211398278</v>
      </c>
      <c r="L258" s="6" t="s">
        <v>986</v>
      </c>
      <c r="M258" s="8">
        <f t="shared" si="6"/>
        <v>6.8292909211398278</v>
      </c>
      <c r="N258" s="1" t="e">
        <f t="shared" si="7"/>
        <v>#DIV/0!</v>
      </c>
    </row>
    <row r="259" spans="1:14" x14ac:dyDescent="0.25">
      <c r="A259" s="2" t="s">
        <v>514</v>
      </c>
      <c r="B259" s="2" t="s">
        <v>515</v>
      </c>
      <c r="C259" s="4">
        <v>23.3</v>
      </c>
      <c r="D259" s="5">
        <v>0</v>
      </c>
      <c r="E259" s="5">
        <v>0</v>
      </c>
      <c r="F259" s="5">
        <v>0</v>
      </c>
      <c r="G259" s="3">
        <v>29</v>
      </c>
      <c r="H259" s="3">
        <v>10</v>
      </c>
      <c r="I259" s="3">
        <v>10</v>
      </c>
      <c r="J259" s="6">
        <v>30.964461850884827</v>
      </c>
      <c r="K259" s="6">
        <v>9.7561298873426114</v>
      </c>
      <c r="L259" s="6">
        <v>9.6297749869178446</v>
      </c>
      <c r="M259" s="8">
        <f t="shared" si="6"/>
        <v>16.783455575048428</v>
      </c>
      <c r="N259" s="1">
        <f t="shared" si="7"/>
        <v>12.281274186203111</v>
      </c>
    </row>
    <row r="260" spans="1:14" x14ac:dyDescent="0.25">
      <c r="A260" s="2" t="s">
        <v>516</v>
      </c>
      <c r="B260" s="2" t="s">
        <v>517</v>
      </c>
      <c r="C260" s="4">
        <v>13.8</v>
      </c>
      <c r="D260" s="5">
        <v>0</v>
      </c>
      <c r="E260" s="5">
        <v>27729822</v>
      </c>
      <c r="F260" s="5">
        <v>21410969</v>
      </c>
      <c r="G260" s="3"/>
      <c r="H260" s="3">
        <v>6</v>
      </c>
      <c r="I260" s="3">
        <v>7</v>
      </c>
      <c r="J260" s="6" t="s">
        <v>986</v>
      </c>
      <c r="K260" s="6">
        <v>5.8536779324055672</v>
      </c>
      <c r="L260" s="6">
        <v>6.7408424908424909</v>
      </c>
      <c r="M260" s="8">
        <f t="shared" ref="M260:M323" si="8">AVERAGE(J260:L260)</f>
        <v>6.297260211624029</v>
      </c>
      <c r="N260" s="1">
        <f t="shared" ref="N260:N323" si="9">STDEV(J260:L260)</f>
        <v>0.62732007529911782</v>
      </c>
    </row>
    <row r="261" spans="1:14" x14ac:dyDescent="0.25">
      <c r="A261" s="2" t="s">
        <v>518</v>
      </c>
      <c r="B261" s="2" t="s">
        <v>519</v>
      </c>
      <c r="C261" s="4">
        <v>23.3</v>
      </c>
      <c r="D261" s="5">
        <v>166838.875</v>
      </c>
      <c r="E261" s="5">
        <v>340780.78125</v>
      </c>
      <c r="F261" s="5">
        <v>325726.625</v>
      </c>
      <c r="G261" s="3">
        <v>28</v>
      </c>
      <c r="H261" s="3">
        <v>11</v>
      </c>
      <c r="I261" s="3">
        <v>11</v>
      </c>
      <c r="J261" s="6">
        <v>29.896721787061214</v>
      </c>
      <c r="K261" s="6">
        <v>10.731742876076872</v>
      </c>
      <c r="L261" s="6">
        <v>10.592752485609628</v>
      </c>
      <c r="M261" s="8">
        <f t="shared" si="8"/>
        <v>17.073739049582574</v>
      </c>
      <c r="N261" s="1">
        <f t="shared" si="9"/>
        <v>11.105246251048058</v>
      </c>
    </row>
    <row r="262" spans="1:14" x14ac:dyDescent="0.25">
      <c r="A262" s="2" t="s">
        <v>520</v>
      </c>
      <c r="B262" s="2" t="s">
        <v>521</v>
      </c>
      <c r="C262" s="4">
        <v>57.7</v>
      </c>
      <c r="D262" s="5">
        <v>1445497.28125</v>
      </c>
      <c r="E262" s="5">
        <v>1140672.875</v>
      </c>
      <c r="F262" s="5">
        <v>3628784.9375</v>
      </c>
      <c r="G262" s="3">
        <v>68</v>
      </c>
      <c r="H262" s="3">
        <v>75</v>
      </c>
      <c r="I262" s="3">
        <v>86</v>
      </c>
      <c r="J262" s="6">
        <v>72.606324340005798</v>
      </c>
      <c r="K262" s="6">
        <v>73.170974155069587</v>
      </c>
      <c r="L262" s="6">
        <v>82.816064887493454</v>
      </c>
      <c r="M262" s="8">
        <f t="shared" si="8"/>
        <v>76.197787794189608</v>
      </c>
      <c r="N262" s="1">
        <f t="shared" si="9"/>
        <v>5.7385452090425879</v>
      </c>
    </row>
    <row r="263" spans="1:14" x14ac:dyDescent="0.25">
      <c r="A263" s="2" t="s">
        <v>522</v>
      </c>
      <c r="B263" s="2" t="s">
        <v>523</v>
      </c>
      <c r="C263" s="4">
        <v>35.299999999999997</v>
      </c>
      <c r="D263" s="5">
        <v>1099526.59375</v>
      </c>
      <c r="E263" s="5">
        <v>1635120.4375</v>
      </c>
      <c r="F263" s="5">
        <v>1806384.0625</v>
      </c>
      <c r="G263" s="3">
        <v>29</v>
      </c>
      <c r="H263" s="3">
        <v>32</v>
      </c>
      <c r="I263" s="3">
        <v>32</v>
      </c>
      <c r="J263" s="6">
        <v>30.964461850884827</v>
      </c>
      <c r="K263" s="6">
        <v>31.219615639496354</v>
      </c>
      <c r="L263" s="6">
        <v>30.815279958137104</v>
      </c>
      <c r="M263" s="8">
        <f t="shared" si="8"/>
        <v>30.999785816172761</v>
      </c>
      <c r="N263" s="1">
        <f t="shared" si="9"/>
        <v>0.20446924633746155</v>
      </c>
    </row>
    <row r="264" spans="1:14" x14ac:dyDescent="0.25">
      <c r="A264" s="2" t="s">
        <v>524</v>
      </c>
      <c r="B264" s="2" t="s">
        <v>525</v>
      </c>
      <c r="C264" s="4">
        <v>15.1</v>
      </c>
      <c r="D264" s="5">
        <v>2141765.75</v>
      </c>
      <c r="E264" s="5">
        <v>2224701.5859375</v>
      </c>
      <c r="F264" s="5">
        <v>2995113.328125</v>
      </c>
      <c r="G264" s="3">
        <v>3</v>
      </c>
      <c r="H264" s="3">
        <v>5</v>
      </c>
      <c r="I264" s="3">
        <v>6</v>
      </c>
      <c r="J264" s="6">
        <v>3.203220191470844</v>
      </c>
      <c r="K264" s="6">
        <v>4.8780649436713057</v>
      </c>
      <c r="L264" s="6">
        <v>5.7778649921507066</v>
      </c>
      <c r="M264" s="8">
        <f t="shared" si="8"/>
        <v>4.6197167090976192</v>
      </c>
      <c r="N264" s="1">
        <f t="shared" si="9"/>
        <v>1.3066203810393711</v>
      </c>
    </row>
    <row r="265" spans="1:14" x14ac:dyDescent="0.25">
      <c r="A265" s="2" t="s">
        <v>526</v>
      </c>
      <c r="B265" s="2" t="s">
        <v>527</v>
      </c>
      <c r="C265" s="4">
        <v>12.3</v>
      </c>
      <c r="D265" s="5">
        <v>82608964</v>
      </c>
      <c r="E265" s="5">
        <v>8956063.25</v>
      </c>
      <c r="F265" s="5">
        <v>76862208.25</v>
      </c>
      <c r="G265" s="3">
        <v>22</v>
      </c>
      <c r="H265" s="3">
        <v>26</v>
      </c>
      <c r="I265" s="3">
        <v>31</v>
      </c>
      <c r="J265" s="6">
        <v>23.490281404119525</v>
      </c>
      <c r="K265" s="6">
        <v>25.365937707090787</v>
      </c>
      <c r="L265" s="6">
        <v>29.852302459445315</v>
      </c>
      <c r="M265" s="8">
        <f t="shared" si="8"/>
        <v>26.236173856885205</v>
      </c>
      <c r="N265" s="1">
        <f t="shared" si="9"/>
        <v>3.2690688573979751</v>
      </c>
    </row>
    <row r="266" spans="1:14" x14ac:dyDescent="0.25">
      <c r="A266" s="2" t="s">
        <v>528</v>
      </c>
      <c r="B266" s="2" t="s">
        <v>529</v>
      </c>
      <c r="C266" s="4">
        <v>110.7</v>
      </c>
      <c r="D266" s="5">
        <v>7957317.71875</v>
      </c>
      <c r="E266" s="5">
        <v>4201361.34375</v>
      </c>
      <c r="F266" s="5">
        <v>5876794.78125</v>
      </c>
      <c r="G266" s="3">
        <v>15</v>
      </c>
      <c r="H266" s="3">
        <v>14</v>
      </c>
      <c r="I266" s="3">
        <v>12</v>
      </c>
      <c r="J266" s="6">
        <v>16.016100957354219</v>
      </c>
      <c r="K266" s="6">
        <v>13.658581842279656</v>
      </c>
      <c r="L266" s="6">
        <v>11.555729984301413</v>
      </c>
      <c r="M266" s="8">
        <f t="shared" si="8"/>
        <v>13.743470927978429</v>
      </c>
      <c r="N266" s="1">
        <f t="shared" si="9"/>
        <v>2.2313968544313543</v>
      </c>
    </row>
    <row r="267" spans="1:14" x14ac:dyDescent="0.25">
      <c r="A267" s="2" t="s">
        <v>530</v>
      </c>
      <c r="B267" s="2" t="s">
        <v>531</v>
      </c>
      <c r="C267" s="4">
        <v>24</v>
      </c>
      <c r="D267" s="5">
        <v>4530572.125</v>
      </c>
      <c r="E267" s="5">
        <v>2381995.21875</v>
      </c>
      <c r="F267" s="5">
        <v>3577659.1875</v>
      </c>
      <c r="G267" s="3">
        <v>12</v>
      </c>
      <c r="H267" s="3">
        <v>10</v>
      </c>
      <c r="I267" s="3">
        <v>13</v>
      </c>
      <c r="J267" s="6">
        <v>12.812880765883376</v>
      </c>
      <c r="K267" s="6">
        <v>9.7561298873426114</v>
      </c>
      <c r="L267" s="6">
        <v>12.518707482993197</v>
      </c>
      <c r="M267" s="8">
        <f t="shared" si="8"/>
        <v>11.695906045406394</v>
      </c>
      <c r="N267" s="1">
        <f t="shared" si="9"/>
        <v>1.6863223706148638</v>
      </c>
    </row>
    <row r="268" spans="1:14" x14ac:dyDescent="0.25">
      <c r="A268" s="2" t="s">
        <v>532</v>
      </c>
      <c r="B268" s="2" t="s">
        <v>533</v>
      </c>
      <c r="C268" s="4">
        <v>92.8</v>
      </c>
      <c r="D268" s="5">
        <v>381544.6875</v>
      </c>
      <c r="E268" s="5">
        <v>1388920.5625</v>
      </c>
      <c r="F268" s="5">
        <v>978889.375</v>
      </c>
      <c r="G268" s="3">
        <v>36</v>
      </c>
      <c r="H268" s="3">
        <v>41</v>
      </c>
      <c r="I268" s="3">
        <v>36</v>
      </c>
      <c r="J268" s="6">
        <v>38.438642297650134</v>
      </c>
      <c r="K268" s="6">
        <v>40.000132538104708</v>
      </c>
      <c r="L268" s="6">
        <v>34.667189952904238</v>
      </c>
      <c r="M268" s="8">
        <f t="shared" si="8"/>
        <v>37.70198826288636</v>
      </c>
      <c r="N268" s="1">
        <f t="shared" si="9"/>
        <v>2.7417263775697021</v>
      </c>
    </row>
    <row r="269" spans="1:14" x14ac:dyDescent="0.25">
      <c r="A269" s="2" t="s">
        <v>534</v>
      </c>
      <c r="B269" s="2" t="s">
        <v>535</v>
      </c>
      <c r="C269" s="4">
        <v>101.8</v>
      </c>
      <c r="D269" s="5">
        <v>0</v>
      </c>
      <c r="E269" s="5">
        <v>455284.5</v>
      </c>
      <c r="F269" s="5">
        <v>0</v>
      </c>
      <c r="G269" s="3"/>
      <c r="H269" s="3">
        <v>3</v>
      </c>
      <c r="I269" s="3"/>
      <c r="J269" s="6" t="s">
        <v>986</v>
      </c>
      <c r="K269" s="6">
        <v>2.9268389662027836</v>
      </c>
      <c r="L269" s="6" t="s">
        <v>986</v>
      </c>
      <c r="M269" s="8">
        <f t="shared" si="8"/>
        <v>2.9268389662027836</v>
      </c>
      <c r="N269" s="1" t="e">
        <f t="shared" si="9"/>
        <v>#DIV/0!</v>
      </c>
    </row>
    <row r="270" spans="1:14" x14ac:dyDescent="0.25">
      <c r="A270" s="2" t="s">
        <v>536</v>
      </c>
      <c r="B270" s="2" t="s">
        <v>537</v>
      </c>
      <c r="C270" s="4">
        <v>100.3</v>
      </c>
      <c r="D270" s="5">
        <v>0</v>
      </c>
      <c r="E270" s="5">
        <v>2658106.125</v>
      </c>
      <c r="F270" s="5">
        <v>2180302.4140625</v>
      </c>
      <c r="G270" s="3"/>
      <c r="H270" s="3">
        <v>8</v>
      </c>
      <c r="I270" s="3">
        <v>7</v>
      </c>
      <c r="J270" s="6" t="s">
        <v>986</v>
      </c>
      <c r="K270" s="6">
        <v>7.8049039098740884</v>
      </c>
      <c r="L270" s="6">
        <v>6.7408424908424909</v>
      </c>
      <c r="M270" s="8">
        <f t="shared" si="8"/>
        <v>7.2728732003582897</v>
      </c>
      <c r="N270" s="1">
        <f t="shared" si="9"/>
        <v>0.75240504499622307</v>
      </c>
    </row>
    <row r="271" spans="1:14" x14ac:dyDescent="0.25">
      <c r="A271" s="2" t="s">
        <v>538</v>
      </c>
      <c r="B271" s="2" t="s">
        <v>539</v>
      </c>
      <c r="C271" s="4">
        <v>20.5</v>
      </c>
      <c r="D271" s="5">
        <v>4580935</v>
      </c>
      <c r="E271" s="5">
        <v>4610040.875</v>
      </c>
      <c r="F271" s="5">
        <v>4953199.25</v>
      </c>
      <c r="G271" s="3">
        <v>22</v>
      </c>
      <c r="H271" s="3">
        <v>33</v>
      </c>
      <c r="I271" s="3">
        <v>39</v>
      </c>
      <c r="J271" s="6">
        <v>23.490281404119525</v>
      </c>
      <c r="K271" s="6">
        <v>32.195228628230616</v>
      </c>
      <c r="L271" s="6">
        <v>37.556122448979586</v>
      </c>
      <c r="M271" s="8">
        <f t="shared" si="8"/>
        <v>31.080544160443242</v>
      </c>
      <c r="N271" s="1">
        <f t="shared" si="9"/>
        <v>7.0988634422604822</v>
      </c>
    </row>
    <row r="272" spans="1:14" x14ac:dyDescent="0.25">
      <c r="A272" s="2" t="s">
        <v>540</v>
      </c>
      <c r="B272" s="2" t="s">
        <v>541</v>
      </c>
      <c r="C272" s="4">
        <v>18.5</v>
      </c>
      <c r="D272" s="5">
        <v>2665892.75</v>
      </c>
      <c r="E272" s="5">
        <v>1875584.125</v>
      </c>
      <c r="F272" s="5">
        <v>2379454.25</v>
      </c>
      <c r="G272" s="3">
        <v>12</v>
      </c>
      <c r="H272" s="3">
        <v>14</v>
      </c>
      <c r="I272" s="3">
        <v>14</v>
      </c>
      <c r="J272" s="6">
        <v>12.812880765883376</v>
      </c>
      <c r="K272" s="6">
        <v>13.658581842279656</v>
      </c>
      <c r="L272" s="6">
        <v>13.481684981684982</v>
      </c>
      <c r="M272" s="8">
        <f t="shared" si="8"/>
        <v>13.317715863282672</v>
      </c>
      <c r="N272" s="1">
        <f t="shared" si="9"/>
        <v>0.44605715048262556</v>
      </c>
    </row>
    <row r="273" spans="1:14" x14ac:dyDescent="0.25">
      <c r="A273" s="2" t="s">
        <v>542</v>
      </c>
      <c r="B273" s="2" t="s">
        <v>543</v>
      </c>
      <c r="C273" s="4">
        <v>19.399999999999999</v>
      </c>
      <c r="D273" s="5">
        <v>2992292.75</v>
      </c>
      <c r="E273" s="5">
        <v>2687481</v>
      </c>
      <c r="F273" s="5">
        <v>3956415.5</v>
      </c>
      <c r="G273" s="3">
        <v>8</v>
      </c>
      <c r="H273" s="3">
        <v>8</v>
      </c>
      <c r="I273" s="3">
        <v>8</v>
      </c>
      <c r="J273" s="6">
        <v>8.541920510588918</v>
      </c>
      <c r="K273" s="6">
        <v>7.8049039098740884</v>
      </c>
      <c r="L273" s="6">
        <v>7.703819989534276</v>
      </c>
      <c r="M273" s="8">
        <f t="shared" si="8"/>
        <v>8.0168814699990936</v>
      </c>
      <c r="N273" s="1">
        <f t="shared" si="9"/>
        <v>0.45749752496098639</v>
      </c>
    </row>
    <row r="274" spans="1:14" x14ac:dyDescent="0.25">
      <c r="A274" s="2" t="s">
        <v>544</v>
      </c>
      <c r="B274" s="2" t="s">
        <v>545</v>
      </c>
      <c r="C274" s="4">
        <v>18.8</v>
      </c>
      <c r="D274" s="5">
        <v>18347922</v>
      </c>
      <c r="E274" s="5">
        <v>10747069.0625</v>
      </c>
      <c r="F274" s="5">
        <v>0</v>
      </c>
      <c r="G274" s="3">
        <v>25</v>
      </c>
      <c r="H274" s="3">
        <v>22</v>
      </c>
      <c r="I274" s="3"/>
      <c r="J274" s="6">
        <v>26.693501595590369</v>
      </c>
      <c r="K274" s="6">
        <v>21.463485752153744</v>
      </c>
      <c r="L274" s="6" t="s">
        <v>986</v>
      </c>
      <c r="M274" s="8">
        <f t="shared" si="8"/>
        <v>24.078493673872057</v>
      </c>
      <c r="N274" s="1">
        <f t="shared" si="9"/>
        <v>3.6981796686071022</v>
      </c>
    </row>
    <row r="275" spans="1:14" x14ac:dyDescent="0.25">
      <c r="A275" s="2" t="s">
        <v>546</v>
      </c>
      <c r="B275" s="2" t="s">
        <v>547</v>
      </c>
      <c r="C275" s="4">
        <v>49.3</v>
      </c>
      <c r="D275" s="5">
        <v>28750878.5234375</v>
      </c>
      <c r="E275" s="5">
        <v>632072.1875</v>
      </c>
      <c r="F275" s="5">
        <v>1039889.25</v>
      </c>
      <c r="G275" s="3">
        <v>18</v>
      </c>
      <c r="H275" s="3">
        <v>20</v>
      </c>
      <c r="I275" s="3">
        <v>19</v>
      </c>
      <c r="J275" s="6">
        <v>19.219321148825067</v>
      </c>
      <c r="K275" s="6">
        <v>19.512259774685223</v>
      </c>
      <c r="L275" s="6">
        <v>18.296572475143904</v>
      </c>
      <c r="M275" s="8">
        <f t="shared" si="8"/>
        <v>19.009384466218066</v>
      </c>
      <c r="N275" s="1">
        <f t="shared" si="9"/>
        <v>0.63445170075785984</v>
      </c>
    </row>
    <row r="276" spans="1:14" x14ac:dyDescent="0.25">
      <c r="A276" s="2" t="s">
        <v>548</v>
      </c>
      <c r="B276" s="2" t="s">
        <v>549</v>
      </c>
      <c r="C276" s="4">
        <v>8</v>
      </c>
      <c r="D276" s="5">
        <v>9639444.875</v>
      </c>
      <c r="E276" s="5">
        <v>3012768.5</v>
      </c>
      <c r="F276" s="5">
        <v>3461665.75</v>
      </c>
      <c r="G276" s="3">
        <v>8</v>
      </c>
      <c r="H276" s="3">
        <v>5</v>
      </c>
      <c r="I276" s="3">
        <v>5</v>
      </c>
      <c r="J276" s="6">
        <v>8.541920510588918</v>
      </c>
      <c r="K276" s="6">
        <v>4.8780649436713057</v>
      </c>
      <c r="L276" s="6">
        <v>4.8148874934589223</v>
      </c>
      <c r="M276" s="8">
        <f t="shared" si="8"/>
        <v>6.0782909825730487</v>
      </c>
      <c r="N276" s="1">
        <f t="shared" si="9"/>
        <v>2.1337995890049286</v>
      </c>
    </row>
    <row r="277" spans="1:14" x14ac:dyDescent="0.25">
      <c r="A277" s="2" t="s">
        <v>550</v>
      </c>
      <c r="B277" s="2" t="s">
        <v>551</v>
      </c>
      <c r="C277" s="4">
        <v>57</v>
      </c>
      <c r="D277" s="5">
        <v>1033168.671875</v>
      </c>
      <c r="E277" s="5">
        <v>622103.6875</v>
      </c>
      <c r="F277" s="5">
        <v>2549578.421875</v>
      </c>
      <c r="G277" s="3">
        <v>3</v>
      </c>
      <c r="H277" s="3">
        <v>3</v>
      </c>
      <c r="I277" s="3">
        <v>6</v>
      </c>
      <c r="J277" s="6">
        <v>3.203220191470844</v>
      </c>
      <c r="K277" s="6">
        <v>2.9268389662027836</v>
      </c>
      <c r="L277" s="6">
        <v>5.7778649921507066</v>
      </c>
      <c r="M277" s="8">
        <f t="shared" si="8"/>
        <v>3.969308049941445</v>
      </c>
      <c r="N277" s="1">
        <f t="shared" si="9"/>
        <v>1.5723407090481856</v>
      </c>
    </row>
    <row r="278" spans="1:14" x14ac:dyDescent="0.25">
      <c r="A278" s="2" t="s">
        <v>552</v>
      </c>
      <c r="B278" s="2" t="s">
        <v>553</v>
      </c>
      <c r="C278" s="4">
        <v>39.200000000000003</v>
      </c>
      <c r="D278" s="5">
        <v>655373.8125</v>
      </c>
      <c r="E278" s="5">
        <v>457720.90625</v>
      </c>
      <c r="F278" s="5">
        <v>599972.625</v>
      </c>
      <c r="G278" s="3">
        <v>4</v>
      </c>
      <c r="H278" s="3">
        <v>4</v>
      </c>
      <c r="I278" s="3">
        <v>4</v>
      </c>
      <c r="J278" s="6">
        <v>4.270960255294459</v>
      </c>
      <c r="K278" s="6">
        <v>3.9024519549370442</v>
      </c>
      <c r="L278" s="6">
        <v>3.851909994767138</v>
      </c>
      <c r="M278" s="8">
        <f t="shared" si="8"/>
        <v>4.0084407349995468</v>
      </c>
      <c r="N278" s="1">
        <f t="shared" si="9"/>
        <v>0.2287487624804932</v>
      </c>
    </row>
    <row r="279" spans="1:14" x14ac:dyDescent="0.25">
      <c r="A279" s="2" t="s">
        <v>554</v>
      </c>
      <c r="B279" s="2" t="s">
        <v>555</v>
      </c>
      <c r="C279" s="4">
        <v>21.7</v>
      </c>
      <c r="D279" s="5">
        <v>623714</v>
      </c>
      <c r="E279" s="5">
        <v>687143.5</v>
      </c>
      <c r="F279" s="5">
        <v>801620.0625</v>
      </c>
      <c r="G279" s="3">
        <v>8</v>
      </c>
      <c r="H279" s="3">
        <v>8</v>
      </c>
      <c r="I279" s="3">
        <v>8</v>
      </c>
      <c r="J279" s="6">
        <v>8.541920510588918</v>
      </c>
      <c r="K279" s="6">
        <v>7.8049039098740884</v>
      </c>
      <c r="L279" s="6">
        <v>7.703819989534276</v>
      </c>
      <c r="M279" s="8">
        <f t="shared" si="8"/>
        <v>8.0168814699990936</v>
      </c>
      <c r="N279" s="1">
        <f t="shared" si="9"/>
        <v>0.45749752496098639</v>
      </c>
    </row>
    <row r="280" spans="1:14" x14ac:dyDescent="0.25">
      <c r="A280" s="2" t="s">
        <v>556</v>
      </c>
      <c r="B280" s="2" t="s">
        <v>557</v>
      </c>
      <c r="C280" s="4">
        <v>22.9</v>
      </c>
      <c r="D280" s="5">
        <v>6980957.53125</v>
      </c>
      <c r="E280" s="5">
        <v>7819809.0625</v>
      </c>
      <c r="F280" s="5">
        <v>8457183.84375</v>
      </c>
      <c r="G280" s="3">
        <v>16</v>
      </c>
      <c r="H280" s="3">
        <v>16</v>
      </c>
      <c r="I280" s="3">
        <v>18</v>
      </c>
      <c r="J280" s="6">
        <v>17.083841021177836</v>
      </c>
      <c r="K280" s="6">
        <v>15.609807819748177</v>
      </c>
      <c r="L280" s="6">
        <v>17.333594976452119</v>
      </c>
      <c r="M280" s="8">
        <f t="shared" si="8"/>
        <v>16.675747939126044</v>
      </c>
      <c r="N280" s="1">
        <f t="shared" si="9"/>
        <v>0.93153932451521515</v>
      </c>
    </row>
    <row r="281" spans="1:14" x14ac:dyDescent="0.25">
      <c r="A281" s="2" t="s">
        <v>558</v>
      </c>
      <c r="B281" s="2" t="s">
        <v>559</v>
      </c>
      <c r="C281" s="4">
        <v>58.6</v>
      </c>
      <c r="D281" s="5">
        <v>1975182.75</v>
      </c>
      <c r="E281" s="5">
        <v>1522998.03125</v>
      </c>
      <c r="F281" s="5">
        <v>858236.2578125</v>
      </c>
      <c r="G281" s="3">
        <v>4</v>
      </c>
      <c r="H281" s="3">
        <v>4</v>
      </c>
      <c r="I281" s="3">
        <v>6</v>
      </c>
      <c r="J281" s="6">
        <v>4.270960255294459</v>
      </c>
      <c r="K281" s="6">
        <v>3.9024519549370442</v>
      </c>
      <c r="L281" s="6">
        <v>5.7778649921507066</v>
      </c>
      <c r="M281" s="8">
        <f t="shared" si="8"/>
        <v>4.6504257341274036</v>
      </c>
      <c r="N281" s="1">
        <f t="shared" si="9"/>
        <v>0.9936242007203604</v>
      </c>
    </row>
    <row r="282" spans="1:14" x14ac:dyDescent="0.25">
      <c r="A282" s="2" t="s">
        <v>560</v>
      </c>
      <c r="B282" s="2" t="s">
        <v>561</v>
      </c>
      <c r="C282" s="4">
        <v>9.6</v>
      </c>
      <c r="D282" s="5">
        <v>3960066</v>
      </c>
      <c r="E282" s="5">
        <v>2810599.828125</v>
      </c>
      <c r="F282" s="5">
        <v>483787.6875</v>
      </c>
      <c r="G282" s="3">
        <v>8</v>
      </c>
      <c r="H282" s="3">
        <v>6</v>
      </c>
      <c r="I282" s="3">
        <v>7</v>
      </c>
      <c r="J282" s="6">
        <v>8.541920510588918</v>
      </c>
      <c r="K282" s="6">
        <v>5.8536779324055672</v>
      </c>
      <c r="L282" s="6">
        <v>6.7408424908424909</v>
      </c>
      <c r="M282" s="8">
        <f t="shared" si="8"/>
        <v>7.0454803112789923</v>
      </c>
      <c r="N282" s="1">
        <f t="shared" si="9"/>
        <v>1.3697682982970871</v>
      </c>
    </row>
    <row r="283" spans="1:14" x14ac:dyDescent="0.25">
      <c r="A283" s="2" t="s">
        <v>562</v>
      </c>
      <c r="B283" s="2" t="s">
        <v>563</v>
      </c>
      <c r="C283" s="4">
        <v>14.5</v>
      </c>
      <c r="D283" s="5">
        <v>1092101.75</v>
      </c>
      <c r="E283" s="5">
        <v>831082.5</v>
      </c>
      <c r="F283" s="5">
        <v>1869719.4375</v>
      </c>
      <c r="G283" s="3">
        <v>4</v>
      </c>
      <c r="H283" s="3">
        <v>4</v>
      </c>
      <c r="I283" s="3">
        <v>5</v>
      </c>
      <c r="J283" s="6">
        <v>4.270960255294459</v>
      </c>
      <c r="K283" s="6">
        <v>3.9024519549370442</v>
      </c>
      <c r="L283" s="6">
        <v>4.8148874934589223</v>
      </c>
      <c r="M283" s="8">
        <f t="shared" si="8"/>
        <v>4.3294332345634752</v>
      </c>
      <c r="N283" s="1">
        <f t="shared" si="9"/>
        <v>0.45901957471100674</v>
      </c>
    </row>
    <row r="284" spans="1:14" x14ac:dyDescent="0.25">
      <c r="A284" s="2" t="s">
        <v>564</v>
      </c>
      <c r="B284" s="2" t="s">
        <v>565</v>
      </c>
      <c r="C284" s="4">
        <v>23.8</v>
      </c>
      <c r="D284" s="5">
        <v>3332634.96875</v>
      </c>
      <c r="E284" s="5">
        <v>0</v>
      </c>
      <c r="F284" s="5">
        <v>332057.125</v>
      </c>
      <c r="G284" s="3">
        <v>31</v>
      </c>
      <c r="H284" s="3">
        <v>13</v>
      </c>
      <c r="I284" s="3">
        <v>15</v>
      </c>
      <c r="J284" s="6">
        <v>33.099941978532058</v>
      </c>
      <c r="K284" s="6">
        <v>12.682968853545393</v>
      </c>
      <c r="L284" s="6">
        <v>14.444662480376765</v>
      </c>
      <c r="M284" s="8">
        <f t="shared" si="8"/>
        <v>20.075857770818072</v>
      </c>
      <c r="N284" s="1">
        <f t="shared" si="9"/>
        <v>11.313530315331436</v>
      </c>
    </row>
    <row r="285" spans="1:14" x14ac:dyDescent="0.25">
      <c r="A285" s="2" t="s">
        <v>566</v>
      </c>
      <c r="B285" s="2" t="s">
        <v>567</v>
      </c>
      <c r="C285" s="4">
        <v>108.9</v>
      </c>
      <c r="D285" s="5">
        <v>34450356.53125</v>
      </c>
      <c r="E285" s="5">
        <v>6819278.28125</v>
      </c>
      <c r="F285" s="5">
        <v>6086121.625</v>
      </c>
      <c r="G285" s="3">
        <v>70</v>
      </c>
      <c r="H285" s="3">
        <v>65</v>
      </c>
      <c r="I285" s="3">
        <v>72</v>
      </c>
      <c r="J285" s="6">
        <v>74.74180446765304</v>
      </c>
      <c r="K285" s="6">
        <v>63.414844267726977</v>
      </c>
      <c r="L285" s="6">
        <v>69.334379905808476</v>
      </c>
      <c r="M285" s="8">
        <f t="shared" si="8"/>
        <v>69.163676213729502</v>
      </c>
      <c r="N285" s="1">
        <f t="shared" si="9"/>
        <v>5.6654092222490267</v>
      </c>
    </row>
    <row r="286" spans="1:14" x14ac:dyDescent="0.25">
      <c r="A286" s="2" t="s">
        <v>568</v>
      </c>
      <c r="B286" s="2" t="s">
        <v>569</v>
      </c>
      <c r="C286" s="4">
        <v>30.4</v>
      </c>
      <c r="D286" s="5">
        <v>11114767.96875</v>
      </c>
      <c r="E286" s="5">
        <v>5663293.46875</v>
      </c>
      <c r="F286" s="5">
        <v>7227194.5625</v>
      </c>
      <c r="G286" s="3">
        <v>22</v>
      </c>
      <c r="H286" s="3">
        <v>12</v>
      </c>
      <c r="I286" s="3">
        <v>21</v>
      </c>
      <c r="J286" s="6">
        <v>23.490281404119525</v>
      </c>
      <c r="K286" s="6">
        <v>11.707355864811134</v>
      </c>
      <c r="L286" s="6">
        <v>20.222527472527474</v>
      </c>
      <c r="M286" s="8">
        <f t="shared" si="8"/>
        <v>18.473388247152712</v>
      </c>
      <c r="N286" s="1">
        <f t="shared" si="9"/>
        <v>6.0830871758121177</v>
      </c>
    </row>
    <row r="287" spans="1:14" x14ac:dyDescent="0.25">
      <c r="A287" s="2" t="s">
        <v>570</v>
      </c>
      <c r="B287" s="2" t="s">
        <v>571</v>
      </c>
      <c r="C287" s="4">
        <v>15.7</v>
      </c>
      <c r="D287" s="5">
        <v>78086852</v>
      </c>
      <c r="E287" s="5">
        <v>89230349.875</v>
      </c>
      <c r="F287" s="5">
        <v>60246549.25</v>
      </c>
      <c r="G287" s="3">
        <v>14</v>
      </c>
      <c r="H287" s="3">
        <v>24</v>
      </c>
      <c r="I287" s="3">
        <v>24</v>
      </c>
      <c r="J287" s="6">
        <v>14.948360893530607</v>
      </c>
      <c r="K287" s="6">
        <v>23.414711729622269</v>
      </c>
      <c r="L287" s="6">
        <v>23.111459968602826</v>
      </c>
      <c r="M287" s="8">
        <f t="shared" si="8"/>
        <v>20.491510863918567</v>
      </c>
      <c r="N287" s="1">
        <f t="shared" si="9"/>
        <v>4.8029026747685855</v>
      </c>
    </row>
    <row r="288" spans="1:14" x14ac:dyDescent="0.25">
      <c r="A288" s="2" t="s">
        <v>572</v>
      </c>
      <c r="B288" s="2" t="s">
        <v>573</v>
      </c>
      <c r="C288" s="4">
        <v>52.9</v>
      </c>
      <c r="D288" s="5">
        <v>2275870.859375</v>
      </c>
      <c r="E288" s="5">
        <v>795334.625</v>
      </c>
      <c r="F288" s="5">
        <v>383790.21875</v>
      </c>
      <c r="G288" s="3">
        <v>8</v>
      </c>
      <c r="H288" s="3">
        <v>6</v>
      </c>
      <c r="I288" s="3">
        <v>3</v>
      </c>
      <c r="J288" s="6">
        <v>8.541920510588918</v>
      </c>
      <c r="K288" s="6">
        <v>5.8536779324055672</v>
      </c>
      <c r="L288" s="6">
        <v>2.8889324960753533</v>
      </c>
      <c r="M288" s="8">
        <f t="shared" si="8"/>
        <v>5.7615103130232797</v>
      </c>
      <c r="N288" s="1">
        <f t="shared" si="9"/>
        <v>2.8276208242275795</v>
      </c>
    </row>
    <row r="289" spans="1:14" x14ac:dyDescent="0.25">
      <c r="A289" s="2" t="s">
        <v>574</v>
      </c>
      <c r="B289" s="2" t="s">
        <v>575</v>
      </c>
      <c r="C289" s="4">
        <v>110.9</v>
      </c>
      <c r="D289" s="5">
        <v>959283.875</v>
      </c>
      <c r="E289" s="5">
        <v>561813.1875</v>
      </c>
      <c r="F289" s="5">
        <v>770025.625</v>
      </c>
      <c r="G289" s="3">
        <v>19</v>
      </c>
      <c r="H289" s="3">
        <v>16</v>
      </c>
      <c r="I289" s="3">
        <v>19</v>
      </c>
      <c r="J289" s="6">
        <v>20.287061212648677</v>
      </c>
      <c r="K289" s="6">
        <v>15.609807819748177</v>
      </c>
      <c r="L289" s="6">
        <v>18.296572475143904</v>
      </c>
      <c r="M289" s="8">
        <f t="shared" si="8"/>
        <v>18.064480502513586</v>
      </c>
      <c r="N289" s="1">
        <f t="shared" si="9"/>
        <v>2.3472483545993685</v>
      </c>
    </row>
    <row r="290" spans="1:14" x14ac:dyDescent="0.25">
      <c r="A290" s="2" t="s">
        <v>576</v>
      </c>
      <c r="B290" s="2" t="s">
        <v>577</v>
      </c>
      <c r="C290" s="4">
        <v>21.4</v>
      </c>
      <c r="D290" s="5">
        <v>6050767.65625</v>
      </c>
      <c r="E290" s="5">
        <v>4155519.65625</v>
      </c>
      <c r="F290" s="5">
        <v>4918943.46875</v>
      </c>
      <c r="G290" s="3">
        <v>31</v>
      </c>
      <c r="H290" s="3">
        <v>32</v>
      </c>
      <c r="I290" s="3">
        <v>35</v>
      </c>
      <c r="J290" s="6">
        <v>33.099941978532058</v>
      </c>
      <c r="K290" s="6">
        <v>31.219615639496354</v>
      </c>
      <c r="L290" s="6">
        <v>33.704212454212453</v>
      </c>
      <c r="M290" s="8">
        <f t="shared" si="8"/>
        <v>32.674590024080288</v>
      </c>
      <c r="N290" s="1">
        <f t="shared" si="9"/>
        <v>1.2957617631305924</v>
      </c>
    </row>
    <row r="291" spans="1:14" x14ac:dyDescent="0.25">
      <c r="A291" s="2" t="s">
        <v>578</v>
      </c>
      <c r="B291" s="2" t="s">
        <v>579</v>
      </c>
      <c r="C291" s="4">
        <v>33.299999999999997</v>
      </c>
      <c r="D291" s="5">
        <v>1434837.875</v>
      </c>
      <c r="E291" s="5">
        <v>1441097.75</v>
      </c>
      <c r="F291" s="5">
        <v>970835.3125</v>
      </c>
      <c r="G291" s="3">
        <v>4</v>
      </c>
      <c r="H291" s="3">
        <v>4</v>
      </c>
      <c r="I291" s="3">
        <v>4</v>
      </c>
      <c r="J291" s="6">
        <v>4.270960255294459</v>
      </c>
      <c r="K291" s="6">
        <v>3.9024519549370442</v>
      </c>
      <c r="L291" s="6">
        <v>3.851909994767138</v>
      </c>
      <c r="M291" s="8">
        <f t="shared" si="8"/>
        <v>4.0084407349995468</v>
      </c>
      <c r="N291" s="1">
        <f t="shared" si="9"/>
        <v>0.2287487624804932</v>
      </c>
    </row>
    <row r="292" spans="1:14" x14ac:dyDescent="0.25">
      <c r="A292" s="2" t="s">
        <v>580</v>
      </c>
      <c r="B292" s="2" t="s">
        <v>581</v>
      </c>
      <c r="C292" s="4">
        <v>37.4</v>
      </c>
      <c r="D292" s="5">
        <v>106707096.25</v>
      </c>
      <c r="E292" s="5">
        <v>79506484.0625</v>
      </c>
      <c r="F292" s="5">
        <v>6392694.5</v>
      </c>
      <c r="G292" s="3">
        <v>23</v>
      </c>
      <c r="H292" s="3">
        <v>26</v>
      </c>
      <c r="I292" s="3">
        <v>15</v>
      </c>
      <c r="J292" s="6">
        <v>24.558021467943139</v>
      </c>
      <c r="K292" s="6">
        <v>25.365937707090787</v>
      </c>
      <c r="L292" s="6">
        <v>14.444662480376765</v>
      </c>
      <c r="M292" s="8">
        <f t="shared" si="8"/>
        <v>21.456207218470229</v>
      </c>
      <c r="N292" s="1">
        <f t="shared" si="9"/>
        <v>6.0855979059648755</v>
      </c>
    </row>
    <row r="293" spans="1:14" x14ac:dyDescent="0.25">
      <c r="A293" s="2" t="s">
        <v>582</v>
      </c>
      <c r="B293" s="2" t="s">
        <v>583</v>
      </c>
      <c r="C293" s="4">
        <v>15.8</v>
      </c>
      <c r="D293" s="5">
        <v>15979251</v>
      </c>
      <c r="E293" s="5">
        <v>20511035</v>
      </c>
      <c r="F293" s="5">
        <v>28989055</v>
      </c>
      <c r="G293" s="3">
        <v>16</v>
      </c>
      <c r="H293" s="3">
        <v>38</v>
      </c>
      <c r="I293" s="3">
        <v>17</v>
      </c>
      <c r="J293" s="6">
        <v>17.083841021177836</v>
      </c>
      <c r="K293" s="6">
        <v>37.073293571901921</v>
      </c>
      <c r="L293" s="6">
        <v>16.370617477760334</v>
      </c>
      <c r="M293" s="8">
        <f t="shared" si="8"/>
        <v>23.50925069028003</v>
      </c>
      <c r="N293" s="1">
        <f t="shared" si="9"/>
        <v>11.752217511030816</v>
      </c>
    </row>
    <row r="294" spans="1:14" x14ac:dyDescent="0.25">
      <c r="A294" s="2" t="s">
        <v>584</v>
      </c>
      <c r="B294" s="2" t="s">
        <v>585</v>
      </c>
      <c r="C294" s="4">
        <v>32.1</v>
      </c>
      <c r="D294" s="5">
        <v>2887531.984375</v>
      </c>
      <c r="E294" s="5">
        <v>2815856.75</v>
      </c>
      <c r="F294" s="5">
        <v>2469456</v>
      </c>
      <c r="G294" s="3">
        <v>5</v>
      </c>
      <c r="H294" s="3">
        <v>5</v>
      </c>
      <c r="I294" s="3">
        <v>4</v>
      </c>
      <c r="J294" s="6">
        <v>5.3387003191180735</v>
      </c>
      <c r="K294" s="6">
        <v>4.8780649436713057</v>
      </c>
      <c r="L294" s="6">
        <v>3.851909994767138</v>
      </c>
      <c r="M294" s="8">
        <f t="shared" si="8"/>
        <v>4.6895584191855058</v>
      </c>
      <c r="N294" s="1">
        <f t="shared" si="9"/>
        <v>0.76110932163269363</v>
      </c>
    </row>
    <row r="295" spans="1:14" x14ac:dyDescent="0.25">
      <c r="A295" s="2" t="s">
        <v>586</v>
      </c>
      <c r="B295" s="2" t="s">
        <v>587</v>
      </c>
      <c r="C295" s="4">
        <v>38.5</v>
      </c>
      <c r="D295" s="5">
        <v>533652.5</v>
      </c>
      <c r="E295" s="5">
        <v>551091.75</v>
      </c>
      <c r="F295" s="5">
        <v>769858.25</v>
      </c>
      <c r="G295" s="3">
        <v>14</v>
      </c>
      <c r="H295" s="3">
        <v>13</v>
      </c>
      <c r="I295" s="3">
        <v>14</v>
      </c>
      <c r="J295" s="6">
        <v>14.948360893530607</v>
      </c>
      <c r="K295" s="6">
        <v>12.682968853545393</v>
      </c>
      <c r="L295" s="6">
        <v>13.481684981684982</v>
      </c>
      <c r="M295" s="8">
        <f t="shared" si="8"/>
        <v>13.704338242920329</v>
      </c>
      <c r="N295" s="1">
        <f t="shared" si="9"/>
        <v>1.148991353214263</v>
      </c>
    </row>
    <row r="296" spans="1:14" x14ac:dyDescent="0.25">
      <c r="A296" s="2" t="s">
        <v>588</v>
      </c>
      <c r="B296" s="2" t="s">
        <v>589</v>
      </c>
      <c r="C296" s="4">
        <v>68.3</v>
      </c>
      <c r="D296" s="5">
        <v>452332.84375</v>
      </c>
      <c r="E296" s="5">
        <v>347171.8125</v>
      </c>
      <c r="F296" s="5">
        <v>459353.40625</v>
      </c>
      <c r="G296" s="3">
        <v>5</v>
      </c>
      <c r="H296" s="3">
        <v>8</v>
      </c>
      <c r="I296" s="3">
        <v>8</v>
      </c>
      <c r="J296" s="6">
        <v>5.3387003191180735</v>
      </c>
      <c r="K296" s="6">
        <v>7.8049039098740884</v>
      </c>
      <c r="L296" s="6">
        <v>7.703819989534276</v>
      </c>
      <c r="M296" s="8">
        <f t="shared" si="8"/>
        <v>6.949141406175479</v>
      </c>
      <c r="N296" s="1">
        <f t="shared" si="9"/>
        <v>1.3955983881116378</v>
      </c>
    </row>
    <row r="297" spans="1:14" x14ac:dyDescent="0.25">
      <c r="A297" s="2" t="s">
        <v>590</v>
      </c>
      <c r="B297" s="2" t="s">
        <v>591</v>
      </c>
      <c r="C297" s="4">
        <v>114.3</v>
      </c>
      <c r="D297" s="5">
        <v>2236997.171875</v>
      </c>
      <c r="E297" s="5">
        <v>1386885.1953125</v>
      </c>
      <c r="F297" s="5">
        <v>2213277.84375</v>
      </c>
      <c r="G297" s="3">
        <v>12</v>
      </c>
      <c r="H297" s="3">
        <v>8</v>
      </c>
      <c r="I297" s="3">
        <v>10</v>
      </c>
      <c r="J297" s="6">
        <v>12.812880765883376</v>
      </c>
      <c r="K297" s="6">
        <v>7.8049039098740884</v>
      </c>
      <c r="L297" s="6">
        <v>9.6297749869178446</v>
      </c>
      <c r="M297" s="8">
        <f t="shared" si="8"/>
        <v>10.082519887558435</v>
      </c>
      <c r="N297" s="1">
        <f t="shared" si="9"/>
        <v>2.5345002478542424</v>
      </c>
    </row>
    <row r="298" spans="1:14" x14ac:dyDescent="0.25">
      <c r="A298" s="2" t="s">
        <v>592</v>
      </c>
      <c r="B298" s="2" t="s">
        <v>593</v>
      </c>
      <c r="C298" s="4">
        <v>12.2</v>
      </c>
      <c r="D298" s="5">
        <v>4684313.375</v>
      </c>
      <c r="E298" s="5">
        <v>3513975.875</v>
      </c>
      <c r="F298" s="5">
        <v>2881671</v>
      </c>
      <c r="G298" s="3">
        <v>5</v>
      </c>
      <c r="H298" s="3">
        <v>6</v>
      </c>
      <c r="I298" s="3">
        <v>6</v>
      </c>
      <c r="J298" s="6">
        <v>5.3387003191180735</v>
      </c>
      <c r="K298" s="6">
        <v>5.8536779324055672</v>
      </c>
      <c r="L298" s="6">
        <v>5.7778649921507066</v>
      </c>
      <c r="M298" s="8">
        <f t="shared" si="8"/>
        <v>5.6567477478914485</v>
      </c>
      <c r="N298" s="1">
        <f t="shared" si="9"/>
        <v>0.27803331758898669</v>
      </c>
    </row>
    <row r="299" spans="1:14" x14ac:dyDescent="0.25">
      <c r="A299" s="2" t="s">
        <v>594</v>
      </c>
      <c r="B299" s="2" t="s">
        <v>595</v>
      </c>
      <c r="C299" s="4">
        <v>23.8</v>
      </c>
      <c r="D299" s="5">
        <v>0</v>
      </c>
      <c r="E299" s="5">
        <v>366102.8125</v>
      </c>
      <c r="F299" s="5">
        <v>0</v>
      </c>
      <c r="G299" s="3"/>
      <c r="H299" s="3">
        <v>14</v>
      </c>
      <c r="I299" s="3"/>
      <c r="J299" s="6" t="s">
        <v>986</v>
      </c>
      <c r="K299" s="6">
        <v>13.658581842279656</v>
      </c>
      <c r="L299" s="6" t="s">
        <v>986</v>
      </c>
      <c r="M299" s="8">
        <f t="shared" si="8"/>
        <v>13.658581842279656</v>
      </c>
      <c r="N299" s="1" t="e">
        <f t="shared" si="9"/>
        <v>#DIV/0!</v>
      </c>
    </row>
    <row r="300" spans="1:14" x14ac:dyDescent="0.25">
      <c r="A300" s="2" t="s">
        <v>596</v>
      </c>
      <c r="B300" s="2" t="s">
        <v>597</v>
      </c>
      <c r="C300" s="4">
        <v>65.3</v>
      </c>
      <c r="D300" s="5">
        <v>0</v>
      </c>
      <c r="E300" s="5">
        <v>643611.953125</v>
      </c>
      <c r="F300" s="5">
        <v>0</v>
      </c>
      <c r="G300" s="3"/>
      <c r="H300" s="3">
        <v>2</v>
      </c>
      <c r="I300" s="3"/>
      <c r="J300" s="6" t="s">
        <v>986</v>
      </c>
      <c r="K300" s="6">
        <v>1.9512259774685221</v>
      </c>
      <c r="L300" s="6" t="s">
        <v>986</v>
      </c>
      <c r="M300" s="8">
        <f t="shared" si="8"/>
        <v>1.9512259774685221</v>
      </c>
      <c r="N300" s="1" t="e">
        <f t="shared" si="9"/>
        <v>#DIV/0!</v>
      </c>
    </row>
    <row r="301" spans="1:14" x14ac:dyDescent="0.25">
      <c r="A301" s="2" t="s">
        <v>598</v>
      </c>
      <c r="B301" s="2" t="s">
        <v>599</v>
      </c>
      <c r="C301" s="4">
        <v>64.8</v>
      </c>
      <c r="D301" s="5">
        <v>171461.5</v>
      </c>
      <c r="E301" s="5">
        <v>0</v>
      </c>
      <c r="F301" s="5">
        <v>144654.09375</v>
      </c>
      <c r="G301" s="3">
        <v>6</v>
      </c>
      <c r="H301" s="3">
        <v>7</v>
      </c>
      <c r="I301" s="3">
        <v>5</v>
      </c>
      <c r="J301" s="6">
        <v>6.406440382941688</v>
      </c>
      <c r="K301" s="6">
        <v>6.8292909211398278</v>
      </c>
      <c r="L301" s="6">
        <v>4.8148874934589223</v>
      </c>
      <c r="M301" s="8">
        <f t="shared" si="8"/>
        <v>6.0168729325134791</v>
      </c>
      <c r="N301" s="1">
        <f t="shared" si="9"/>
        <v>1.0622040252173812</v>
      </c>
    </row>
    <row r="302" spans="1:14" x14ac:dyDescent="0.25">
      <c r="A302" s="2" t="s">
        <v>600</v>
      </c>
      <c r="B302" s="2" t="s">
        <v>601</v>
      </c>
      <c r="C302" s="4">
        <v>48.2</v>
      </c>
      <c r="D302" s="5">
        <v>1209200.703125</v>
      </c>
      <c r="E302" s="5">
        <v>587764.2265625</v>
      </c>
      <c r="F302" s="5">
        <v>405772.96875</v>
      </c>
      <c r="G302" s="3">
        <v>5</v>
      </c>
      <c r="H302" s="3">
        <v>5</v>
      </c>
      <c r="I302" s="3">
        <v>6</v>
      </c>
      <c r="J302" s="6">
        <v>5.3387003191180735</v>
      </c>
      <c r="K302" s="6">
        <v>4.8780649436713057</v>
      </c>
      <c r="L302" s="6">
        <v>5.7778649921507066</v>
      </c>
      <c r="M302" s="8">
        <f t="shared" si="8"/>
        <v>5.3315434183133625</v>
      </c>
      <c r="N302" s="1">
        <f t="shared" si="9"/>
        <v>0.449942716056977</v>
      </c>
    </row>
    <row r="303" spans="1:14" x14ac:dyDescent="0.25">
      <c r="A303" s="2" t="s">
        <v>602</v>
      </c>
      <c r="B303" s="2" t="s">
        <v>603</v>
      </c>
      <c r="C303" s="4">
        <v>111.6</v>
      </c>
      <c r="D303" s="5">
        <v>0</v>
      </c>
      <c r="E303" s="5">
        <v>972019.28125</v>
      </c>
      <c r="F303" s="5">
        <v>0</v>
      </c>
      <c r="G303" s="3"/>
      <c r="H303" s="3">
        <v>4</v>
      </c>
      <c r="I303" s="3"/>
      <c r="J303" s="6" t="s">
        <v>986</v>
      </c>
      <c r="K303" s="6">
        <v>3.9024519549370442</v>
      </c>
      <c r="L303" s="6" t="s">
        <v>986</v>
      </c>
      <c r="M303" s="8">
        <f t="shared" si="8"/>
        <v>3.9024519549370442</v>
      </c>
      <c r="N303" s="1" t="e">
        <f t="shared" si="9"/>
        <v>#DIV/0!</v>
      </c>
    </row>
    <row r="304" spans="1:14" x14ac:dyDescent="0.25">
      <c r="A304" s="2" t="s">
        <v>604</v>
      </c>
      <c r="B304" s="2" t="s">
        <v>605</v>
      </c>
      <c r="C304" s="4">
        <v>29.4</v>
      </c>
      <c r="D304" s="5">
        <v>785503.609375</v>
      </c>
      <c r="E304" s="5">
        <v>1014050.25</v>
      </c>
      <c r="F304" s="5">
        <v>1122858.78125</v>
      </c>
      <c r="G304" s="3">
        <v>9</v>
      </c>
      <c r="H304" s="3">
        <v>11</v>
      </c>
      <c r="I304" s="3">
        <v>7</v>
      </c>
      <c r="J304" s="6">
        <v>9.6096605744125334</v>
      </c>
      <c r="K304" s="6">
        <v>10.731742876076872</v>
      </c>
      <c r="L304" s="6">
        <v>6.7408424908424909</v>
      </c>
      <c r="M304" s="8">
        <f t="shared" si="8"/>
        <v>9.0274153137772988</v>
      </c>
      <c r="N304" s="1">
        <f t="shared" si="9"/>
        <v>2.0581736148500935</v>
      </c>
    </row>
    <row r="305" spans="1:14" x14ac:dyDescent="0.25">
      <c r="A305" s="2" t="s">
        <v>606</v>
      </c>
      <c r="B305" s="2" t="s">
        <v>607</v>
      </c>
      <c r="C305" s="4">
        <v>65.099999999999994</v>
      </c>
      <c r="D305" s="5">
        <v>0</v>
      </c>
      <c r="E305" s="5">
        <v>401761.578125</v>
      </c>
      <c r="F305" s="5">
        <v>785820.44140625</v>
      </c>
      <c r="G305" s="3"/>
      <c r="H305" s="3">
        <v>5</v>
      </c>
      <c r="I305" s="3">
        <v>5</v>
      </c>
      <c r="J305" s="6" t="s">
        <v>986</v>
      </c>
      <c r="K305" s="6">
        <v>4.8780649436713057</v>
      </c>
      <c r="L305" s="6">
        <v>4.8148874934589223</v>
      </c>
      <c r="M305" s="8">
        <f t="shared" si="8"/>
        <v>4.8464762185651136</v>
      </c>
      <c r="N305" s="1">
        <f t="shared" si="9"/>
        <v>4.46732034632518E-2</v>
      </c>
    </row>
    <row r="306" spans="1:14" x14ac:dyDescent="0.25">
      <c r="A306" s="2" t="s">
        <v>608</v>
      </c>
      <c r="B306" s="2" t="s">
        <v>609</v>
      </c>
      <c r="C306" s="4">
        <v>35</v>
      </c>
      <c r="D306" s="5">
        <v>502318.96875</v>
      </c>
      <c r="E306" s="5">
        <v>2707501.515625</v>
      </c>
      <c r="F306" s="5">
        <v>3631414.66015625</v>
      </c>
      <c r="G306" s="3">
        <v>8</v>
      </c>
      <c r="H306" s="3">
        <v>12</v>
      </c>
      <c r="I306" s="3">
        <v>14</v>
      </c>
      <c r="J306" s="6">
        <v>8.541920510588918</v>
      </c>
      <c r="K306" s="6">
        <v>11.707355864811134</v>
      </c>
      <c r="L306" s="6">
        <v>13.481684981684982</v>
      </c>
      <c r="M306" s="8">
        <f t="shared" si="8"/>
        <v>11.243653785695011</v>
      </c>
      <c r="N306" s="1">
        <f t="shared" si="9"/>
        <v>2.502315521893312</v>
      </c>
    </row>
    <row r="307" spans="1:14" x14ac:dyDescent="0.25">
      <c r="A307" s="2" t="s">
        <v>610</v>
      </c>
      <c r="B307" s="2" t="s">
        <v>611</v>
      </c>
      <c r="C307" s="4">
        <v>59.3</v>
      </c>
      <c r="D307" s="5">
        <v>521437.640625</v>
      </c>
      <c r="E307" s="5">
        <v>3027429.203125</v>
      </c>
      <c r="F307" s="5">
        <v>591594.125</v>
      </c>
      <c r="G307" s="3">
        <v>17</v>
      </c>
      <c r="H307" s="3">
        <v>18</v>
      </c>
      <c r="I307" s="3">
        <v>13</v>
      </c>
      <c r="J307" s="6">
        <v>18.15158108500145</v>
      </c>
      <c r="K307" s="6">
        <v>17.561033797216702</v>
      </c>
      <c r="L307" s="6">
        <v>12.518707482993197</v>
      </c>
      <c r="M307" s="8">
        <f t="shared" si="8"/>
        <v>16.077107455070447</v>
      </c>
      <c r="N307" s="1">
        <f t="shared" si="9"/>
        <v>3.0957784636076839</v>
      </c>
    </row>
    <row r="308" spans="1:14" x14ac:dyDescent="0.25">
      <c r="A308" s="2" t="s">
        <v>612</v>
      </c>
      <c r="B308" s="2" t="s">
        <v>613</v>
      </c>
      <c r="C308" s="4">
        <v>58.9</v>
      </c>
      <c r="D308" s="5">
        <v>2106695.5625</v>
      </c>
      <c r="E308" s="5">
        <v>1568087.4921875</v>
      </c>
      <c r="F308" s="5">
        <v>986533.8671875</v>
      </c>
      <c r="G308" s="3">
        <v>7</v>
      </c>
      <c r="H308" s="3">
        <v>8</v>
      </c>
      <c r="I308" s="3">
        <v>5</v>
      </c>
      <c r="J308" s="6">
        <v>7.4741804467653035</v>
      </c>
      <c r="K308" s="6">
        <v>7.8049039098740884</v>
      </c>
      <c r="L308" s="6">
        <v>4.8148874934589223</v>
      </c>
      <c r="M308" s="8">
        <f t="shared" si="8"/>
        <v>6.6979906166994381</v>
      </c>
      <c r="N308" s="1">
        <f t="shared" si="9"/>
        <v>1.6391773948634443</v>
      </c>
    </row>
    <row r="309" spans="1:14" x14ac:dyDescent="0.25">
      <c r="A309" s="2" t="s">
        <v>614</v>
      </c>
      <c r="B309" s="2" t="s">
        <v>615</v>
      </c>
      <c r="C309" s="4">
        <v>12.9</v>
      </c>
      <c r="D309" s="5">
        <v>498036.7890625</v>
      </c>
      <c r="E309" s="5">
        <v>541106.1484375</v>
      </c>
      <c r="F309" s="5">
        <v>648789.6875</v>
      </c>
      <c r="G309" s="3">
        <v>4</v>
      </c>
      <c r="H309" s="3">
        <v>5</v>
      </c>
      <c r="I309" s="3">
        <v>6</v>
      </c>
      <c r="J309" s="6">
        <v>4.270960255294459</v>
      </c>
      <c r="K309" s="6">
        <v>4.8780649436713057</v>
      </c>
      <c r="L309" s="6">
        <v>5.7778649921507066</v>
      </c>
      <c r="M309" s="8">
        <f t="shared" si="8"/>
        <v>4.9756300637054904</v>
      </c>
      <c r="N309" s="1">
        <f t="shared" si="9"/>
        <v>0.75817523434587086</v>
      </c>
    </row>
    <row r="310" spans="1:14" x14ac:dyDescent="0.25">
      <c r="A310" s="2" t="s">
        <v>616</v>
      </c>
      <c r="B310" s="2" t="s">
        <v>617</v>
      </c>
      <c r="C310" s="4">
        <v>28.3</v>
      </c>
      <c r="D310" s="5">
        <v>539040.875</v>
      </c>
      <c r="E310" s="5">
        <v>386980.59375</v>
      </c>
      <c r="F310" s="5">
        <v>679580.3125</v>
      </c>
      <c r="G310" s="3">
        <v>29</v>
      </c>
      <c r="H310" s="3">
        <v>26</v>
      </c>
      <c r="I310" s="3">
        <v>28</v>
      </c>
      <c r="J310" s="6">
        <v>30.964461850884827</v>
      </c>
      <c r="K310" s="6">
        <v>25.365937707090787</v>
      </c>
      <c r="L310" s="6">
        <v>26.963369963369964</v>
      </c>
      <c r="M310" s="8">
        <f t="shared" si="8"/>
        <v>27.764589840448526</v>
      </c>
      <c r="N310" s="1">
        <f t="shared" si="9"/>
        <v>2.8839786954363134</v>
      </c>
    </row>
    <row r="311" spans="1:14" x14ac:dyDescent="0.25">
      <c r="A311" s="2" t="s">
        <v>618</v>
      </c>
      <c r="B311" s="2" t="s">
        <v>619</v>
      </c>
      <c r="C311" s="4">
        <v>14.4</v>
      </c>
      <c r="D311" s="5">
        <v>0</v>
      </c>
      <c r="E311" s="5">
        <v>20975667.5</v>
      </c>
      <c r="F311" s="5">
        <v>0</v>
      </c>
      <c r="G311" s="3"/>
      <c r="H311" s="3">
        <v>4</v>
      </c>
      <c r="I311" s="3">
        <v>2</v>
      </c>
      <c r="J311" s="6" t="s">
        <v>986</v>
      </c>
      <c r="K311" s="6">
        <v>3.9024519549370442</v>
      </c>
      <c r="L311" s="6">
        <v>1.925954997383569</v>
      </c>
      <c r="M311" s="8">
        <f t="shared" si="8"/>
        <v>2.9142034761603064</v>
      </c>
      <c r="N311" s="1">
        <f t="shared" si="9"/>
        <v>1.3975944016806434</v>
      </c>
    </row>
    <row r="312" spans="1:14" x14ac:dyDescent="0.25">
      <c r="A312" s="2" t="s">
        <v>620</v>
      </c>
      <c r="B312" s="2" t="s">
        <v>621</v>
      </c>
      <c r="C312" s="4">
        <v>21</v>
      </c>
      <c r="D312" s="5">
        <v>94455947.25</v>
      </c>
      <c r="E312" s="5">
        <v>80271296</v>
      </c>
      <c r="F312" s="5">
        <v>108079143</v>
      </c>
      <c r="G312" s="3">
        <v>19</v>
      </c>
      <c r="H312" s="3">
        <v>20</v>
      </c>
      <c r="I312" s="3">
        <v>23</v>
      </c>
      <c r="J312" s="6">
        <v>20.287061212648677</v>
      </c>
      <c r="K312" s="6">
        <v>19.512259774685223</v>
      </c>
      <c r="L312" s="6">
        <v>22.148482469911041</v>
      </c>
      <c r="M312" s="8">
        <f t="shared" si="8"/>
        <v>20.649267819081647</v>
      </c>
      <c r="N312" s="1">
        <f t="shared" si="9"/>
        <v>1.3549216744940225</v>
      </c>
    </row>
    <row r="313" spans="1:14" x14ac:dyDescent="0.25">
      <c r="A313" s="2" t="s">
        <v>622</v>
      </c>
      <c r="B313" s="2" t="s">
        <v>623</v>
      </c>
      <c r="C313" s="4">
        <v>49.9</v>
      </c>
      <c r="D313" s="5">
        <v>3139857.671875</v>
      </c>
      <c r="E313" s="5">
        <v>2901825.640625</v>
      </c>
      <c r="F313" s="5">
        <v>2479562.75</v>
      </c>
      <c r="G313" s="3">
        <v>8</v>
      </c>
      <c r="H313" s="3">
        <v>6</v>
      </c>
      <c r="I313" s="3">
        <v>5</v>
      </c>
      <c r="J313" s="6">
        <v>8.541920510588918</v>
      </c>
      <c r="K313" s="6">
        <v>5.8536779324055672</v>
      </c>
      <c r="L313" s="6">
        <v>4.8148874934589223</v>
      </c>
      <c r="M313" s="8">
        <f t="shared" si="8"/>
        <v>6.4034953121511364</v>
      </c>
      <c r="N313" s="1">
        <f t="shared" si="9"/>
        <v>1.9233871531745697</v>
      </c>
    </row>
    <row r="314" spans="1:14" x14ac:dyDescent="0.25">
      <c r="A314" s="2" t="s">
        <v>624</v>
      </c>
      <c r="B314" s="2" t="s">
        <v>625</v>
      </c>
      <c r="C314" s="4">
        <v>83.8</v>
      </c>
      <c r="D314" s="5">
        <v>1086555.84375</v>
      </c>
      <c r="E314" s="5">
        <v>1046614.25</v>
      </c>
      <c r="F314" s="5">
        <v>957946.09375</v>
      </c>
      <c r="G314" s="3">
        <v>3</v>
      </c>
      <c r="H314" s="3">
        <v>3</v>
      </c>
      <c r="I314" s="3">
        <v>3</v>
      </c>
      <c r="J314" s="6">
        <v>3.203220191470844</v>
      </c>
      <c r="K314" s="6">
        <v>2.9268389662027836</v>
      </c>
      <c r="L314" s="6">
        <v>2.8889324960753533</v>
      </c>
      <c r="M314" s="8">
        <f t="shared" si="8"/>
        <v>3.0063305512496608</v>
      </c>
      <c r="N314" s="1">
        <f t="shared" si="9"/>
        <v>0.17156157186036974</v>
      </c>
    </row>
    <row r="315" spans="1:14" x14ac:dyDescent="0.25">
      <c r="A315" s="2" t="s">
        <v>626</v>
      </c>
      <c r="B315" s="2" t="s">
        <v>627</v>
      </c>
      <c r="C315" s="4">
        <v>15.7</v>
      </c>
      <c r="D315" s="5">
        <v>21214987.8125</v>
      </c>
      <c r="E315" s="5">
        <v>11964305.71875</v>
      </c>
      <c r="F315" s="5">
        <v>11608884.5625</v>
      </c>
      <c r="G315" s="3">
        <v>25</v>
      </c>
      <c r="H315" s="3">
        <v>22</v>
      </c>
      <c r="I315" s="3">
        <v>22</v>
      </c>
      <c r="J315" s="6">
        <v>26.693501595590369</v>
      </c>
      <c r="K315" s="6">
        <v>21.463485752153744</v>
      </c>
      <c r="L315" s="6">
        <v>21.185504971219256</v>
      </c>
      <c r="M315" s="8">
        <f t="shared" si="8"/>
        <v>23.114164106321123</v>
      </c>
      <c r="N315" s="1">
        <f t="shared" si="9"/>
        <v>3.1029116931051113</v>
      </c>
    </row>
    <row r="316" spans="1:14" x14ac:dyDescent="0.25">
      <c r="A316" s="2" t="s">
        <v>628</v>
      </c>
      <c r="B316" s="2" t="s">
        <v>629</v>
      </c>
      <c r="C316" s="4">
        <v>16.5</v>
      </c>
      <c r="D316" s="5">
        <v>18627224.125</v>
      </c>
      <c r="E316" s="5">
        <v>18256885.5</v>
      </c>
      <c r="F316" s="5">
        <v>19553263.25</v>
      </c>
      <c r="G316" s="3">
        <v>35</v>
      </c>
      <c r="H316" s="3">
        <v>31</v>
      </c>
      <c r="I316" s="3">
        <v>30</v>
      </c>
      <c r="J316" s="6">
        <v>37.37090223382652</v>
      </c>
      <c r="K316" s="6">
        <v>30.244002650762091</v>
      </c>
      <c r="L316" s="6">
        <v>28.88932496075353</v>
      </c>
      <c r="M316" s="8">
        <f t="shared" si="8"/>
        <v>32.168076615114046</v>
      </c>
      <c r="N316" s="1">
        <f t="shared" si="9"/>
        <v>4.5564057902034891</v>
      </c>
    </row>
    <row r="317" spans="1:14" x14ac:dyDescent="0.25">
      <c r="A317" s="2" t="s">
        <v>630</v>
      </c>
      <c r="B317" s="2" t="s">
        <v>631</v>
      </c>
      <c r="C317" s="4">
        <v>21.6</v>
      </c>
      <c r="D317" s="5">
        <v>34971340.875</v>
      </c>
      <c r="E317" s="5">
        <v>24249221.5</v>
      </c>
      <c r="F317" s="5">
        <v>26601024.375</v>
      </c>
      <c r="G317" s="3">
        <v>26</v>
      </c>
      <c r="H317" s="3">
        <v>23</v>
      </c>
      <c r="I317" s="3">
        <v>24</v>
      </c>
      <c r="J317" s="6">
        <v>27.761241659413983</v>
      </c>
      <c r="K317" s="6">
        <v>22.439098740888006</v>
      </c>
      <c r="L317" s="6">
        <v>23.111459968602826</v>
      </c>
      <c r="M317" s="8">
        <f t="shared" si="8"/>
        <v>24.437266789634936</v>
      </c>
      <c r="N317" s="1">
        <f t="shared" si="9"/>
        <v>2.8982105006927128</v>
      </c>
    </row>
    <row r="318" spans="1:14" x14ac:dyDescent="0.25">
      <c r="A318" s="2" t="s">
        <v>632</v>
      </c>
      <c r="B318" s="2" t="s">
        <v>633</v>
      </c>
      <c r="C318" s="4">
        <v>19.600000000000001</v>
      </c>
      <c r="D318" s="5">
        <v>400174.53125</v>
      </c>
      <c r="E318" s="5">
        <v>338197.09375</v>
      </c>
      <c r="F318" s="5">
        <v>440569.3125</v>
      </c>
      <c r="G318" s="3">
        <v>21</v>
      </c>
      <c r="H318" s="3">
        <v>33</v>
      </c>
      <c r="I318" s="3">
        <v>25</v>
      </c>
      <c r="J318" s="6">
        <v>22.422541340295911</v>
      </c>
      <c r="K318" s="6">
        <v>32.195228628230616</v>
      </c>
      <c r="L318" s="6">
        <v>24.074437467294612</v>
      </c>
      <c r="M318" s="8">
        <f t="shared" si="8"/>
        <v>26.230735811940381</v>
      </c>
      <c r="N318" s="1">
        <f t="shared" si="9"/>
        <v>5.2310200841022603</v>
      </c>
    </row>
    <row r="319" spans="1:14" x14ac:dyDescent="0.25">
      <c r="A319" s="2" t="s">
        <v>634</v>
      </c>
      <c r="B319" s="2" t="s">
        <v>635</v>
      </c>
      <c r="C319" s="4">
        <v>23.3</v>
      </c>
      <c r="D319" s="5">
        <v>1668063.59375</v>
      </c>
      <c r="E319" s="5">
        <v>2435516.90625</v>
      </c>
      <c r="F319" s="5">
        <v>3217408.640625</v>
      </c>
      <c r="G319" s="3">
        <v>11</v>
      </c>
      <c r="H319" s="3">
        <v>11</v>
      </c>
      <c r="I319" s="3">
        <v>10</v>
      </c>
      <c r="J319" s="6">
        <v>11.745140702059762</v>
      </c>
      <c r="K319" s="6">
        <v>10.731742876076872</v>
      </c>
      <c r="L319" s="6">
        <v>9.6297749869178446</v>
      </c>
      <c r="M319" s="8">
        <f t="shared" si="8"/>
        <v>10.702219521684826</v>
      </c>
      <c r="N319" s="1">
        <f t="shared" si="9"/>
        <v>1.0579918471048764</v>
      </c>
    </row>
    <row r="320" spans="1:14" x14ac:dyDescent="0.25">
      <c r="A320" s="2" t="s">
        <v>636</v>
      </c>
      <c r="B320" s="2" t="s">
        <v>637</v>
      </c>
      <c r="C320" s="4">
        <v>44</v>
      </c>
      <c r="D320" s="5">
        <v>539354.8125</v>
      </c>
      <c r="E320" s="5">
        <v>630628.625</v>
      </c>
      <c r="F320" s="5">
        <v>449512.375</v>
      </c>
      <c r="G320" s="3">
        <v>5</v>
      </c>
      <c r="H320" s="3">
        <v>5</v>
      </c>
      <c r="I320" s="3">
        <v>4</v>
      </c>
      <c r="J320" s="6">
        <v>5.3387003191180735</v>
      </c>
      <c r="K320" s="6">
        <v>4.8780649436713057</v>
      </c>
      <c r="L320" s="6">
        <v>3.851909994767138</v>
      </c>
      <c r="M320" s="8">
        <f t="shared" si="8"/>
        <v>4.6895584191855058</v>
      </c>
      <c r="N320" s="1">
        <f t="shared" si="9"/>
        <v>0.76110932163269363</v>
      </c>
    </row>
    <row r="321" spans="1:14" x14ac:dyDescent="0.25">
      <c r="A321" s="2" t="s">
        <v>638</v>
      </c>
      <c r="B321" s="2" t="s">
        <v>639</v>
      </c>
      <c r="C321" s="4">
        <v>23.6</v>
      </c>
      <c r="D321" s="5">
        <v>981194.65625</v>
      </c>
      <c r="E321" s="5">
        <v>859792.234375</v>
      </c>
      <c r="F321" s="5">
        <v>1495104.09375</v>
      </c>
      <c r="G321" s="3">
        <v>33</v>
      </c>
      <c r="H321" s="3">
        <v>18</v>
      </c>
      <c r="I321" s="3">
        <v>20</v>
      </c>
      <c r="J321" s="6">
        <v>35.235422106179286</v>
      </c>
      <c r="K321" s="6">
        <v>17.561033797216702</v>
      </c>
      <c r="L321" s="6">
        <v>19.259549973835689</v>
      </c>
      <c r="M321" s="8">
        <f t="shared" si="8"/>
        <v>24.018668625743896</v>
      </c>
      <c r="N321" s="1">
        <f t="shared" si="9"/>
        <v>9.7510465223586937</v>
      </c>
    </row>
    <row r="322" spans="1:14" x14ac:dyDescent="0.25">
      <c r="A322" s="2" t="s">
        <v>640</v>
      </c>
      <c r="B322" s="2" t="s">
        <v>641</v>
      </c>
      <c r="C322" s="4">
        <v>80.2</v>
      </c>
      <c r="D322" s="5">
        <v>7964413.28125</v>
      </c>
      <c r="E322" s="5">
        <v>232914.375</v>
      </c>
      <c r="F322" s="5">
        <v>0</v>
      </c>
      <c r="G322" s="3">
        <v>18</v>
      </c>
      <c r="H322" s="3">
        <v>17</v>
      </c>
      <c r="I322" s="3"/>
      <c r="J322" s="6">
        <v>19.219321148825067</v>
      </c>
      <c r="K322" s="6">
        <v>16.585420808482439</v>
      </c>
      <c r="L322" s="6" t="s">
        <v>986</v>
      </c>
      <c r="M322" s="8">
        <f t="shared" si="8"/>
        <v>17.902370978653753</v>
      </c>
      <c r="N322" s="1">
        <f t="shared" si="9"/>
        <v>1.8624487916258274</v>
      </c>
    </row>
    <row r="323" spans="1:14" x14ac:dyDescent="0.25">
      <c r="A323" s="2" t="s">
        <v>642</v>
      </c>
      <c r="B323" s="2" t="s">
        <v>643</v>
      </c>
      <c r="C323" s="4">
        <v>29.6</v>
      </c>
      <c r="D323" s="5">
        <v>2164583.25</v>
      </c>
      <c r="E323" s="5">
        <v>1598784.75</v>
      </c>
      <c r="F323" s="5">
        <v>2395038.8125</v>
      </c>
      <c r="G323" s="3">
        <v>47</v>
      </c>
      <c r="H323" s="3">
        <v>52</v>
      </c>
      <c r="I323" s="3">
        <v>60</v>
      </c>
      <c r="J323" s="6">
        <v>50.183782999709891</v>
      </c>
      <c r="K323" s="6">
        <v>50.731875414181573</v>
      </c>
      <c r="L323" s="6">
        <v>57.778649921507061</v>
      </c>
      <c r="M323" s="8">
        <f t="shared" si="8"/>
        <v>52.898102778466175</v>
      </c>
      <c r="N323" s="1">
        <f t="shared" si="9"/>
        <v>4.2355526953732685</v>
      </c>
    </row>
    <row r="324" spans="1:14" x14ac:dyDescent="0.25">
      <c r="A324" s="2" t="s">
        <v>644</v>
      </c>
      <c r="B324" s="2" t="s">
        <v>645</v>
      </c>
      <c r="C324" s="4">
        <v>28.2</v>
      </c>
      <c r="D324" s="5">
        <v>28674698</v>
      </c>
      <c r="E324" s="5">
        <v>16764119</v>
      </c>
      <c r="F324" s="5">
        <v>31517564</v>
      </c>
      <c r="G324" s="3">
        <v>27</v>
      </c>
      <c r="H324" s="3">
        <v>29</v>
      </c>
      <c r="I324" s="3">
        <v>29</v>
      </c>
      <c r="J324" s="6">
        <v>28.828981723237597</v>
      </c>
      <c r="K324" s="6">
        <v>28.29277667329357</v>
      </c>
      <c r="L324" s="6">
        <v>27.926347462061745</v>
      </c>
      <c r="M324" s="8">
        <f t="shared" ref="M324:M387" si="10">AVERAGE(J324:L324)</f>
        <v>28.349368619530967</v>
      </c>
      <c r="N324" s="1">
        <f t="shared" ref="N324:N387" si="11">STDEV(J324:L324)</f>
        <v>0.45397041604747929</v>
      </c>
    </row>
    <row r="325" spans="1:14" x14ac:dyDescent="0.25">
      <c r="A325" s="2" t="s">
        <v>646</v>
      </c>
      <c r="B325" s="2" t="s">
        <v>647</v>
      </c>
      <c r="C325" s="4">
        <v>39.299999999999997</v>
      </c>
      <c r="D325" s="5">
        <v>9818950</v>
      </c>
      <c r="E325" s="5">
        <v>8408794.75</v>
      </c>
      <c r="F325" s="5">
        <v>9269160.75</v>
      </c>
      <c r="G325" s="3">
        <v>29</v>
      </c>
      <c r="H325" s="3">
        <v>24</v>
      </c>
      <c r="I325" s="3">
        <v>25</v>
      </c>
      <c r="J325" s="6">
        <v>30.964461850884827</v>
      </c>
      <c r="K325" s="6">
        <v>23.414711729622269</v>
      </c>
      <c r="L325" s="6">
        <v>24.074437467294612</v>
      </c>
      <c r="M325" s="8">
        <f t="shared" si="10"/>
        <v>26.15120368260057</v>
      </c>
      <c r="N325" s="1">
        <f t="shared" si="11"/>
        <v>4.1814351792360709</v>
      </c>
    </row>
    <row r="326" spans="1:14" x14ac:dyDescent="0.25">
      <c r="A326" s="2" t="s">
        <v>648</v>
      </c>
      <c r="B326" s="2" t="s">
        <v>649</v>
      </c>
      <c r="C326" s="4">
        <v>54.9</v>
      </c>
      <c r="D326" s="5">
        <v>0</v>
      </c>
      <c r="E326" s="5">
        <v>276601.25</v>
      </c>
      <c r="F326" s="5">
        <v>883330.5625</v>
      </c>
      <c r="G326" s="3">
        <v>5</v>
      </c>
      <c r="H326" s="3">
        <v>6</v>
      </c>
      <c r="I326" s="3">
        <v>5</v>
      </c>
      <c r="J326" s="6">
        <v>5.3387003191180735</v>
      </c>
      <c r="K326" s="6">
        <v>5.8536779324055672</v>
      </c>
      <c r="L326" s="6">
        <v>4.8148874934589223</v>
      </c>
      <c r="M326" s="8">
        <f t="shared" si="10"/>
        <v>5.3357552483275201</v>
      </c>
      <c r="N326" s="1">
        <f t="shared" si="11"/>
        <v>0.5194014816047523</v>
      </c>
    </row>
    <row r="327" spans="1:14" x14ac:dyDescent="0.25">
      <c r="A327" s="2" t="s">
        <v>650</v>
      </c>
      <c r="B327" s="2" t="s">
        <v>651</v>
      </c>
      <c r="C327" s="4">
        <v>11.6</v>
      </c>
      <c r="D327" s="5">
        <v>0</v>
      </c>
      <c r="E327" s="5">
        <v>979111.40625</v>
      </c>
      <c r="F327" s="5">
        <v>1282297.625</v>
      </c>
      <c r="G327" s="3"/>
      <c r="H327" s="3">
        <v>3</v>
      </c>
      <c r="I327" s="3">
        <v>3</v>
      </c>
      <c r="J327" s="6" t="s">
        <v>986</v>
      </c>
      <c r="K327" s="6">
        <v>2.9268389662027836</v>
      </c>
      <c r="L327" s="6">
        <v>2.8889324960753533</v>
      </c>
      <c r="M327" s="8">
        <f t="shared" si="10"/>
        <v>2.9078857311390687</v>
      </c>
      <c r="N327" s="1">
        <f t="shared" si="11"/>
        <v>2.6803922077951268E-2</v>
      </c>
    </row>
    <row r="328" spans="1:14" x14ac:dyDescent="0.25">
      <c r="A328" s="2" t="s">
        <v>652</v>
      </c>
      <c r="B328" s="2" t="s">
        <v>653</v>
      </c>
      <c r="C328" s="4">
        <v>54.6</v>
      </c>
      <c r="D328" s="5">
        <v>2055690.90625</v>
      </c>
      <c r="E328" s="5">
        <v>1817309.4375</v>
      </c>
      <c r="F328" s="5">
        <v>1019836.1484375</v>
      </c>
      <c r="G328" s="3">
        <v>6</v>
      </c>
      <c r="H328" s="3">
        <v>6</v>
      </c>
      <c r="I328" s="3">
        <v>7</v>
      </c>
      <c r="J328" s="6">
        <v>6.406440382941688</v>
      </c>
      <c r="K328" s="6">
        <v>5.8536779324055672</v>
      </c>
      <c r="L328" s="6">
        <v>6.7408424908424909</v>
      </c>
      <c r="M328" s="8">
        <f t="shared" si="10"/>
        <v>6.3336536020632481</v>
      </c>
      <c r="N328" s="1">
        <f t="shared" si="11"/>
        <v>0.44803869814964631</v>
      </c>
    </row>
    <row r="329" spans="1:14" x14ac:dyDescent="0.25">
      <c r="A329" s="2" t="s">
        <v>654</v>
      </c>
      <c r="B329" s="2" t="s">
        <v>655</v>
      </c>
      <c r="C329" s="4">
        <v>54</v>
      </c>
      <c r="D329" s="5">
        <v>11405462.375</v>
      </c>
      <c r="E329" s="5">
        <v>3523172.84375</v>
      </c>
      <c r="F329" s="5">
        <v>1913338.8125</v>
      </c>
      <c r="G329" s="3">
        <v>16</v>
      </c>
      <c r="H329" s="3">
        <v>7</v>
      </c>
      <c r="I329" s="3">
        <v>4</v>
      </c>
      <c r="J329" s="6">
        <v>17.083841021177836</v>
      </c>
      <c r="K329" s="6">
        <v>6.8292909211398278</v>
      </c>
      <c r="L329" s="6">
        <v>3.851909994767138</v>
      </c>
      <c r="M329" s="8">
        <f t="shared" si="10"/>
        <v>9.2550139790282664</v>
      </c>
      <c r="N329" s="1">
        <f t="shared" si="11"/>
        <v>6.9414767115579439</v>
      </c>
    </row>
    <row r="330" spans="1:14" x14ac:dyDescent="0.25">
      <c r="A330" s="2" t="s">
        <v>656</v>
      </c>
      <c r="B330" s="2" t="s">
        <v>657</v>
      </c>
      <c r="C330" s="4">
        <v>20.8</v>
      </c>
      <c r="D330" s="5">
        <v>27160435</v>
      </c>
      <c r="E330" s="5">
        <v>17799653</v>
      </c>
      <c r="F330" s="5">
        <v>19578250.8125</v>
      </c>
      <c r="G330" s="3">
        <v>17</v>
      </c>
      <c r="H330" s="3">
        <v>15</v>
      </c>
      <c r="I330" s="3">
        <v>13</v>
      </c>
      <c r="J330" s="6">
        <v>18.15158108500145</v>
      </c>
      <c r="K330" s="6">
        <v>14.634194831013914</v>
      </c>
      <c r="L330" s="6">
        <v>12.518707482993197</v>
      </c>
      <c r="M330" s="8">
        <f t="shared" si="10"/>
        <v>15.101494466336186</v>
      </c>
      <c r="N330" s="1">
        <f t="shared" si="11"/>
        <v>2.8453634154409144</v>
      </c>
    </row>
    <row r="331" spans="1:14" x14ac:dyDescent="0.25">
      <c r="A331" s="2" t="s">
        <v>658</v>
      </c>
      <c r="B331" s="2" t="s">
        <v>659</v>
      </c>
      <c r="C331" s="4">
        <v>56.5</v>
      </c>
      <c r="D331" s="5">
        <v>1358549.625</v>
      </c>
      <c r="E331" s="5">
        <v>737603.4375</v>
      </c>
      <c r="F331" s="5">
        <v>1470785.5</v>
      </c>
      <c r="G331" s="3">
        <v>28</v>
      </c>
      <c r="H331" s="3">
        <v>31</v>
      </c>
      <c r="I331" s="3">
        <v>43</v>
      </c>
      <c r="J331" s="6">
        <v>29.896721787061214</v>
      </c>
      <c r="K331" s="6">
        <v>30.244002650762091</v>
      </c>
      <c r="L331" s="6">
        <v>41.408032443746727</v>
      </c>
      <c r="M331" s="8">
        <f t="shared" si="10"/>
        <v>33.84958562719001</v>
      </c>
      <c r="N331" s="1">
        <f t="shared" si="11"/>
        <v>6.5481096286340765</v>
      </c>
    </row>
    <row r="332" spans="1:14" x14ac:dyDescent="0.25">
      <c r="A332" s="2" t="s">
        <v>660</v>
      </c>
      <c r="B332" s="2" t="s">
        <v>661</v>
      </c>
      <c r="C332" s="4">
        <v>12.2</v>
      </c>
      <c r="D332" s="5">
        <v>21067391</v>
      </c>
      <c r="E332" s="5">
        <v>8841487.875</v>
      </c>
      <c r="F332" s="5">
        <v>0</v>
      </c>
      <c r="G332" s="3">
        <v>6</v>
      </c>
      <c r="H332" s="3">
        <v>8</v>
      </c>
      <c r="I332" s="3"/>
      <c r="J332" s="6">
        <v>6.406440382941688</v>
      </c>
      <c r="K332" s="6">
        <v>7.8049039098740884</v>
      </c>
      <c r="L332" s="6" t="s">
        <v>986</v>
      </c>
      <c r="M332" s="8">
        <f t="shared" si="10"/>
        <v>7.1056721464078887</v>
      </c>
      <c r="N332" s="1">
        <f t="shared" si="11"/>
        <v>0.9888630431359563</v>
      </c>
    </row>
    <row r="333" spans="1:14" x14ac:dyDescent="0.25">
      <c r="A333" s="2" t="s">
        <v>662</v>
      </c>
      <c r="B333" s="2" t="s">
        <v>663</v>
      </c>
      <c r="C333" s="4">
        <v>30.9</v>
      </c>
      <c r="D333" s="5">
        <v>0</v>
      </c>
      <c r="E333" s="5">
        <v>786895.046875</v>
      </c>
      <c r="F333" s="5">
        <v>0</v>
      </c>
      <c r="G333" s="3"/>
      <c r="H333" s="3">
        <v>2</v>
      </c>
      <c r="I333" s="3"/>
      <c r="J333" s="6" t="s">
        <v>986</v>
      </c>
      <c r="K333" s="6">
        <v>1.9512259774685221</v>
      </c>
      <c r="L333" s="6" t="s">
        <v>986</v>
      </c>
      <c r="M333" s="8">
        <f t="shared" si="10"/>
        <v>1.9512259774685221</v>
      </c>
      <c r="N333" s="1" t="e">
        <f t="shared" si="11"/>
        <v>#DIV/0!</v>
      </c>
    </row>
    <row r="334" spans="1:14" x14ac:dyDescent="0.25">
      <c r="A334" s="2" t="s">
        <v>664</v>
      </c>
      <c r="B334" s="2" t="s">
        <v>665</v>
      </c>
      <c r="C334" s="4">
        <v>46</v>
      </c>
      <c r="D334" s="5">
        <v>6555480</v>
      </c>
      <c r="E334" s="5">
        <v>1164795.5</v>
      </c>
      <c r="F334" s="5">
        <v>0</v>
      </c>
      <c r="G334" s="3">
        <v>10</v>
      </c>
      <c r="H334" s="3">
        <v>2</v>
      </c>
      <c r="I334" s="3"/>
      <c r="J334" s="6">
        <v>10.677400638236147</v>
      </c>
      <c r="K334" s="6">
        <v>1.9512259774685221</v>
      </c>
      <c r="L334" s="6" t="s">
        <v>986</v>
      </c>
      <c r="M334" s="8">
        <f t="shared" si="10"/>
        <v>6.3143133078523341</v>
      </c>
      <c r="N334" s="1">
        <f t="shared" si="11"/>
        <v>6.1703372764470101</v>
      </c>
    </row>
    <row r="335" spans="1:14" x14ac:dyDescent="0.25">
      <c r="A335" s="2" t="s">
        <v>666</v>
      </c>
      <c r="B335" s="2" t="s">
        <v>667</v>
      </c>
      <c r="C335" s="4">
        <v>41.7</v>
      </c>
      <c r="D335" s="5">
        <v>2876085.234375</v>
      </c>
      <c r="E335" s="5">
        <v>2281546.515625</v>
      </c>
      <c r="F335" s="5">
        <v>0</v>
      </c>
      <c r="G335" s="3">
        <v>6</v>
      </c>
      <c r="H335" s="3">
        <v>4</v>
      </c>
      <c r="I335" s="3"/>
      <c r="J335" s="6">
        <v>6.406440382941688</v>
      </c>
      <c r="K335" s="6">
        <v>3.9024519549370442</v>
      </c>
      <c r="L335" s="6" t="s">
        <v>986</v>
      </c>
      <c r="M335" s="8">
        <f t="shared" si="10"/>
        <v>5.1544461689393657</v>
      </c>
      <c r="N335" s="1">
        <f t="shared" si="11"/>
        <v>1.7705871974547271</v>
      </c>
    </row>
    <row r="336" spans="1:14" x14ac:dyDescent="0.25">
      <c r="A336" s="2" t="s">
        <v>668</v>
      </c>
      <c r="B336" s="2" t="s">
        <v>669</v>
      </c>
      <c r="C336" s="4">
        <v>32</v>
      </c>
      <c r="D336" s="5">
        <v>19724876.125</v>
      </c>
      <c r="E336" s="5">
        <v>15146782.265625</v>
      </c>
      <c r="F336" s="5">
        <v>16373513.8125</v>
      </c>
      <c r="G336" s="3">
        <v>50</v>
      </c>
      <c r="H336" s="3">
        <v>50</v>
      </c>
      <c r="I336" s="3">
        <v>46</v>
      </c>
      <c r="J336" s="6">
        <v>53.387003191180739</v>
      </c>
      <c r="K336" s="6">
        <v>48.780649436713055</v>
      </c>
      <c r="L336" s="6">
        <v>44.296964939822082</v>
      </c>
      <c r="M336" s="8">
        <f t="shared" si="10"/>
        <v>48.821539189238628</v>
      </c>
      <c r="N336" s="1">
        <f t="shared" si="11"/>
        <v>4.5451570744790644</v>
      </c>
    </row>
    <row r="337" spans="1:14" x14ac:dyDescent="0.25">
      <c r="A337" s="2" t="s">
        <v>670</v>
      </c>
      <c r="B337" s="2" t="s">
        <v>671</v>
      </c>
      <c r="C337" s="4">
        <v>20.2</v>
      </c>
      <c r="D337" s="5">
        <v>564174.3125</v>
      </c>
      <c r="E337" s="5">
        <v>1225918.9375</v>
      </c>
      <c r="F337" s="5">
        <v>1657373.5625</v>
      </c>
      <c r="G337" s="3">
        <v>4</v>
      </c>
      <c r="H337" s="3">
        <v>6</v>
      </c>
      <c r="I337" s="3">
        <v>6</v>
      </c>
      <c r="J337" s="6">
        <v>4.270960255294459</v>
      </c>
      <c r="K337" s="6">
        <v>5.8536779324055672</v>
      </c>
      <c r="L337" s="6">
        <v>5.7778649921507066</v>
      </c>
      <c r="M337" s="8">
        <f t="shared" si="10"/>
        <v>5.3008343932835773</v>
      </c>
      <c r="N337" s="1">
        <f t="shared" si="11"/>
        <v>0.89270233311650038</v>
      </c>
    </row>
    <row r="338" spans="1:14" x14ac:dyDescent="0.25">
      <c r="A338" s="2" t="s">
        <v>672</v>
      </c>
      <c r="B338" s="2" t="s">
        <v>673</v>
      </c>
      <c r="C338" s="4">
        <v>22</v>
      </c>
      <c r="D338" s="5">
        <v>29702388.578125</v>
      </c>
      <c r="E338" s="5">
        <v>26283300.125</v>
      </c>
      <c r="F338" s="5">
        <v>20629498.1875</v>
      </c>
      <c r="G338" s="3">
        <v>48</v>
      </c>
      <c r="H338" s="3">
        <v>65</v>
      </c>
      <c r="I338" s="3">
        <v>71</v>
      </c>
      <c r="J338" s="6">
        <v>51.251523063533504</v>
      </c>
      <c r="K338" s="6">
        <v>63.414844267726977</v>
      </c>
      <c r="L338" s="6">
        <v>68.371402407116705</v>
      </c>
      <c r="M338" s="8">
        <f t="shared" si="10"/>
        <v>61.0125899127924</v>
      </c>
      <c r="N338" s="1">
        <f t="shared" si="11"/>
        <v>8.8091251934606749</v>
      </c>
    </row>
    <row r="339" spans="1:14" x14ac:dyDescent="0.25">
      <c r="A339" s="2" t="s">
        <v>674</v>
      </c>
      <c r="B339" s="2" t="s">
        <v>675</v>
      </c>
      <c r="C339" s="4">
        <v>55.8</v>
      </c>
      <c r="D339" s="5">
        <v>1004419.8125</v>
      </c>
      <c r="E339" s="5">
        <v>1148886</v>
      </c>
      <c r="F339" s="5">
        <v>0</v>
      </c>
      <c r="G339" s="3">
        <v>5</v>
      </c>
      <c r="H339" s="3">
        <v>5</v>
      </c>
      <c r="I339" s="3"/>
      <c r="J339" s="6">
        <v>5.3387003191180735</v>
      </c>
      <c r="K339" s="6">
        <v>4.8780649436713057</v>
      </c>
      <c r="L339" s="6" t="s">
        <v>986</v>
      </c>
      <c r="M339" s="8">
        <f t="shared" si="10"/>
        <v>5.1083826313946901</v>
      </c>
      <c r="N339" s="1">
        <f t="shared" si="11"/>
        <v>0.32571839763282079</v>
      </c>
    </row>
    <row r="340" spans="1:14" x14ac:dyDescent="0.25">
      <c r="A340" s="2" t="s">
        <v>676</v>
      </c>
      <c r="B340" s="2" t="s">
        <v>677</v>
      </c>
      <c r="C340" s="4">
        <v>10.9</v>
      </c>
      <c r="D340" s="5">
        <v>13956716.75</v>
      </c>
      <c r="E340" s="5">
        <v>5719109.75</v>
      </c>
      <c r="F340" s="5">
        <v>0</v>
      </c>
      <c r="G340" s="3">
        <v>5</v>
      </c>
      <c r="H340" s="3">
        <v>2</v>
      </c>
      <c r="I340" s="3"/>
      <c r="J340" s="6">
        <v>5.3387003191180735</v>
      </c>
      <c r="K340" s="6">
        <v>1.9512259774685221</v>
      </c>
      <c r="L340" s="6" t="s">
        <v>986</v>
      </c>
      <c r="M340" s="8">
        <f t="shared" si="10"/>
        <v>3.6449631482932978</v>
      </c>
      <c r="N340" s="1">
        <f t="shared" si="11"/>
        <v>2.395306078075834</v>
      </c>
    </row>
    <row r="341" spans="1:14" x14ac:dyDescent="0.25">
      <c r="A341" s="2" t="s">
        <v>678</v>
      </c>
      <c r="B341" s="2" t="s">
        <v>679</v>
      </c>
      <c r="C341" s="4">
        <v>19.600000000000001</v>
      </c>
      <c r="D341" s="5">
        <v>1604232.125</v>
      </c>
      <c r="E341" s="5">
        <v>772696.8125</v>
      </c>
      <c r="F341" s="5">
        <v>1373734.375</v>
      </c>
      <c r="G341" s="3">
        <v>21</v>
      </c>
      <c r="H341" s="3">
        <v>32</v>
      </c>
      <c r="I341" s="3">
        <v>25</v>
      </c>
      <c r="J341" s="6">
        <v>22.422541340295911</v>
      </c>
      <c r="K341" s="6">
        <v>31.219615639496354</v>
      </c>
      <c r="L341" s="6">
        <v>24.074437467294612</v>
      </c>
      <c r="M341" s="8">
        <f t="shared" si="10"/>
        <v>25.905531482362292</v>
      </c>
      <c r="N341" s="1">
        <f t="shared" si="11"/>
        <v>4.6756612393784049</v>
      </c>
    </row>
    <row r="342" spans="1:14" x14ac:dyDescent="0.25">
      <c r="A342" s="2" t="s">
        <v>680</v>
      </c>
      <c r="B342" s="2" t="s">
        <v>681</v>
      </c>
      <c r="C342" s="4">
        <v>15.6</v>
      </c>
      <c r="D342" s="5">
        <v>14124290</v>
      </c>
      <c r="E342" s="5">
        <v>11221086.5</v>
      </c>
      <c r="F342" s="5">
        <v>9973904.25</v>
      </c>
      <c r="G342" s="3">
        <v>34</v>
      </c>
      <c r="H342" s="3">
        <v>37</v>
      </c>
      <c r="I342" s="3">
        <v>53</v>
      </c>
      <c r="J342" s="6">
        <v>36.303162170002899</v>
      </c>
      <c r="K342" s="6">
        <v>36.097680583167659</v>
      </c>
      <c r="L342" s="6">
        <v>51.037807430664571</v>
      </c>
      <c r="M342" s="8">
        <f t="shared" si="10"/>
        <v>41.146216727945045</v>
      </c>
      <c r="N342" s="1">
        <f t="shared" si="11"/>
        <v>8.5669849213843641</v>
      </c>
    </row>
    <row r="343" spans="1:14" x14ac:dyDescent="0.25">
      <c r="A343" s="2" t="s">
        <v>682</v>
      </c>
      <c r="B343" s="2" t="s">
        <v>683</v>
      </c>
      <c r="C343" s="4">
        <v>42.1</v>
      </c>
      <c r="D343" s="5">
        <v>943071.25</v>
      </c>
      <c r="E343" s="5">
        <v>1837003.78125</v>
      </c>
      <c r="F343" s="5">
        <v>2277544.5</v>
      </c>
      <c r="G343" s="3">
        <v>3</v>
      </c>
      <c r="H343" s="3">
        <v>6</v>
      </c>
      <c r="I343" s="3">
        <v>8</v>
      </c>
      <c r="J343" s="6">
        <v>3.203220191470844</v>
      </c>
      <c r="K343" s="6">
        <v>5.8536779324055672</v>
      </c>
      <c r="L343" s="6">
        <v>7.703819989534276</v>
      </c>
      <c r="M343" s="8">
        <f t="shared" si="10"/>
        <v>5.5869060378035629</v>
      </c>
      <c r="N343" s="1">
        <f t="shared" si="11"/>
        <v>2.2621284376432529</v>
      </c>
    </row>
    <row r="344" spans="1:14" x14ac:dyDescent="0.25">
      <c r="A344" s="2" t="s">
        <v>684</v>
      </c>
      <c r="B344" s="2" t="s">
        <v>685</v>
      </c>
      <c r="C344" s="4">
        <v>50.9</v>
      </c>
      <c r="D344" s="5">
        <v>731367.90625</v>
      </c>
      <c r="E344" s="5">
        <v>655229.171875</v>
      </c>
      <c r="F344" s="5">
        <v>473917</v>
      </c>
      <c r="G344" s="3">
        <v>2</v>
      </c>
      <c r="H344" s="3">
        <v>3</v>
      </c>
      <c r="I344" s="3">
        <v>2</v>
      </c>
      <c r="J344" s="6">
        <v>2.1354801276472295</v>
      </c>
      <c r="K344" s="6">
        <v>2.9268389662027836</v>
      </c>
      <c r="L344" s="6">
        <v>1.925954997383569</v>
      </c>
      <c r="M344" s="8">
        <f t="shared" si="10"/>
        <v>2.3294246970778603</v>
      </c>
      <c r="N344" s="1">
        <f t="shared" si="11"/>
        <v>0.52787598142797931</v>
      </c>
    </row>
    <row r="345" spans="1:14" x14ac:dyDescent="0.25">
      <c r="A345" s="2" t="s">
        <v>686</v>
      </c>
      <c r="B345" s="2" t="s">
        <v>687</v>
      </c>
      <c r="C345" s="4">
        <v>36.200000000000003</v>
      </c>
      <c r="D345" s="5">
        <v>0</v>
      </c>
      <c r="E345" s="5">
        <v>0</v>
      </c>
      <c r="F345" s="5">
        <v>0</v>
      </c>
      <c r="G345" s="3">
        <v>13</v>
      </c>
      <c r="H345" s="3">
        <v>10</v>
      </c>
      <c r="I345" s="3">
        <v>10</v>
      </c>
      <c r="J345" s="6">
        <v>13.880620829706992</v>
      </c>
      <c r="K345" s="6">
        <v>9.7561298873426114</v>
      </c>
      <c r="L345" s="6">
        <v>9.6297749869178446</v>
      </c>
      <c r="M345" s="8">
        <f t="shared" si="10"/>
        <v>11.088841901322482</v>
      </c>
      <c r="N345" s="1">
        <f t="shared" si="11"/>
        <v>2.418576767221623</v>
      </c>
    </row>
    <row r="346" spans="1:14" x14ac:dyDescent="0.25">
      <c r="A346" s="2" t="s">
        <v>688</v>
      </c>
      <c r="B346" s="2" t="s">
        <v>689</v>
      </c>
      <c r="C346" s="4">
        <v>45.1</v>
      </c>
      <c r="D346" s="5">
        <v>156753471.28125</v>
      </c>
      <c r="E346" s="5">
        <v>130068045</v>
      </c>
      <c r="F346" s="5">
        <v>155028898.25</v>
      </c>
      <c r="G346" s="3">
        <v>73</v>
      </c>
      <c r="H346" s="3">
        <v>71</v>
      </c>
      <c r="I346" s="3">
        <v>63</v>
      </c>
      <c r="J346" s="6">
        <v>77.945024659123874</v>
      </c>
      <c r="K346" s="6">
        <v>69.268522200132537</v>
      </c>
      <c r="L346" s="6">
        <v>60.667582417582416</v>
      </c>
      <c r="M346" s="8">
        <f t="shared" si="10"/>
        <v>69.293709758946278</v>
      </c>
      <c r="N346" s="1">
        <f t="shared" si="11"/>
        <v>8.6387486600947554</v>
      </c>
    </row>
    <row r="347" spans="1:14" x14ac:dyDescent="0.25">
      <c r="A347" s="2" t="s">
        <v>690</v>
      </c>
      <c r="B347" s="2" t="s">
        <v>691</v>
      </c>
      <c r="C347" s="4">
        <v>102</v>
      </c>
      <c r="D347" s="5">
        <v>0</v>
      </c>
      <c r="E347" s="5">
        <v>404748.09375</v>
      </c>
      <c r="F347" s="5">
        <v>0</v>
      </c>
      <c r="G347" s="3"/>
      <c r="H347" s="3">
        <v>2</v>
      </c>
      <c r="I347" s="3"/>
      <c r="J347" s="6" t="s">
        <v>986</v>
      </c>
      <c r="K347" s="6">
        <v>1.9512259774685221</v>
      </c>
      <c r="L347" s="6" t="s">
        <v>986</v>
      </c>
      <c r="M347" s="8">
        <f t="shared" si="10"/>
        <v>1.9512259774685221</v>
      </c>
      <c r="N347" s="1" t="e">
        <f t="shared" si="11"/>
        <v>#DIV/0!</v>
      </c>
    </row>
    <row r="348" spans="1:14" x14ac:dyDescent="0.25">
      <c r="A348" s="2" t="s">
        <v>692</v>
      </c>
      <c r="B348" s="2" t="s">
        <v>693</v>
      </c>
      <c r="C348" s="4">
        <v>56.7</v>
      </c>
      <c r="D348" s="5">
        <v>1322429.65625</v>
      </c>
      <c r="E348" s="5">
        <v>679073.5625</v>
      </c>
      <c r="F348" s="5">
        <v>601513.0625</v>
      </c>
      <c r="G348" s="3">
        <v>3</v>
      </c>
      <c r="H348" s="3">
        <v>2</v>
      </c>
      <c r="I348" s="3">
        <v>3</v>
      </c>
      <c r="J348" s="6">
        <v>3.203220191470844</v>
      </c>
      <c r="K348" s="6">
        <v>1.9512259774685221</v>
      </c>
      <c r="L348" s="6">
        <v>2.8889324960753533</v>
      </c>
      <c r="M348" s="8">
        <f t="shared" si="10"/>
        <v>2.681126221671573</v>
      </c>
      <c r="N348" s="1">
        <f t="shared" si="11"/>
        <v>0.65135241132201682</v>
      </c>
    </row>
    <row r="349" spans="1:14" x14ac:dyDescent="0.25">
      <c r="A349" s="2" t="s">
        <v>694</v>
      </c>
      <c r="B349" s="2" t="s">
        <v>695</v>
      </c>
      <c r="C349" s="4">
        <v>21.3</v>
      </c>
      <c r="D349" s="5">
        <v>4217926.84375</v>
      </c>
      <c r="E349" s="5">
        <v>3605242.5625</v>
      </c>
      <c r="F349" s="5">
        <v>4739243.78125</v>
      </c>
      <c r="G349" s="3">
        <v>32</v>
      </c>
      <c r="H349" s="3">
        <v>33</v>
      </c>
      <c r="I349" s="3">
        <v>35</v>
      </c>
      <c r="J349" s="6">
        <v>34.167682042355672</v>
      </c>
      <c r="K349" s="6">
        <v>32.195228628230616</v>
      </c>
      <c r="L349" s="6">
        <v>33.704212454212453</v>
      </c>
      <c r="M349" s="8">
        <f t="shared" si="10"/>
        <v>33.355707708266245</v>
      </c>
      <c r="N349" s="1">
        <f t="shared" si="11"/>
        <v>1.0313751917627596</v>
      </c>
    </row>
    <row r="350" spans="1:14" x14ac:dyDescent="0.25">
      <c r="A350" s="2" t="s">
        <v>696</v>
      </c>
      <c r="B350" s="2" t="s">
        <v>697</v>
      </c>
      <c r="C350" s="4">
        <v>25.1</v>
      </c>
      <c r="D350" s="5">
        <v>168939639</v>
      </c>
      <c r="E350" s="5">
        <v>142229704.6875</v>
      </c>
      <c r="F350" s="5">
        <v>170218877.125</v>
      </c>
      <c r="G350" s="3">
        <v>28</v>
      </c>
      <c r="H350" s="3">
        <v>38</v>
      </c>
      <c r="I350" s="3">
        <v>41</v>
      </c>
      <c r="J350" s="6">
        <v>29.896721787061214</v>
      </c>
      <c r="K350" s="6">
        <v>37.073293571901921</v>
      </c>
      <c r="L350" s="6">
        <v>39.482077446363164</v>
      </c>
      <c r="M350" s="8">
        <f t="shared" si="10"/>
        <v>35.48403093510877</v>
      </c>
      <c r="N350" s="1">
        <f t="shared" si="11"/>
        <v>4.9863892322358998</v>
      </c>
    </row>
    <row r="351" spans="1:14" x14ac:dyDescent="0.25">
      <c r="A351" s="2" t="s">
        <v>698</v>
      </c>
      <c r="B351" s="2" t="s">
        <v>699</v>
      </c>
      <c r="C351" s="4">
        <v>25.8</v>
      </c>
      <c r="D351" s="5">
        <v>5909645.5</v>
      </c>
      <c r="E351" s="5">
        <v>4204178.875</v>
      </c>
      <c r="F351" s="5">
        <v>4114017.125</v>
      </c>
      <c r="G351" s="3">
        <v>20</v>
      </c>
      <c r="H351" s="3">
        <v>19</v>
      </c>
      <c r="I351" s="3">
        <v>21</v>
      </c>
      <c r="J351" s="6">
        <v>21.354801276472294</v>
      </c>
      <c r="K351" s="6">
        <v>18.53664678595096</v>
      </c>
      <c r="L351" s="6">
        <v>20.222527472527474</v>
      </c>
      <c r="M351" s="8">
        <f t="shared" si="10"/>
        <v>20.037991844983576</v>
      </c>
      <c r="N351" s="1">
        <f t="shared" si="11"/>
        <v>1.4181109729094385</v>
      </c>
    </row>
    <row r="352" spans="1:14" x14ac:dyDescent="0.25">
      <c r="A352" s="2" t="s">
        <v>700</v>
      </c>
      <c r="B352" s="2" t="s">
        <v>701</v>
      </c>
      <c r="C352" s="4">
        <v>39.700000000000003</v>
      </c>
      <c r="D352" s="5">
        <v>36675192.09375</v>
      </c>
      <c r="E352" s="5">
        <v>29367154.84375</v>
      </c>
      <c r="F352" s="5">
        <v>36783283.8134766</v>
      </c>
      <c r="G352" s="3">
        <v>25</v>
      </c>
      <c r="H352" s="3">
        <v>25</v>
      </c>
      <c r="I352" s="3">
        <v>26</v>
      </c>
      <c r="J352" s="6">
        <v>26.693501595590369</v>
      </c>
      <c r="K352" s="6">
        <v>24.390324718356528</v>
      </c>
      <c r="L352" s="6">
        <v>25.037414965986393</v>
      </c>
      <c r="M352" s="8">
        <f t="shared" si="10"/>
        <v>25.373747093311096</v>
      </c>
      <c r="N352" s="1">
        <f t="shared" si="11"/>
        <v>1.1878532766546668</v>
      </c>
    </row>
    <row r="353" spans="1:14" x14ac:dyDescent="0.25">
      <c r="A353" s="2" t="s">
        <v>702</v>
      </c>
      <c r="B353" s="2" t="s">
        <v>703</v>
      </c>
      <c r="C353" s="4">
        <v>27.2</v>
      </c>
      <c r="D353" s="5">
        <v>37809727.875</v>
      </c>
      <c r="E353" s="5">
        <v>30246870.9375</v>
      </c>
      <c r="F353" s="5">
        <v>20406596</v>
      </c>
      <c r="G353" s="3">
        <v>38</v>
      </c>
      <c r="H353" s="3">
        <v>46</v>
      </c>
      <c r="I353" s="3">
        <v>54</v>
      </c>
      <c r="J353" s="6">
        <v>40.574122425297354</v>
      </c>
      <c r="K353" s="6">
        <v>44.878197481776013</v>
      </c>
      <c r="L353" s="6">
        <v>52.000784929356357</v>
      </c>
      <c r="M353" s="8">
        <f t="shared" si="10"/>
        <v>45.817701612143232</v>
      </c>
      <c r="N353" s="1">
        <f t="shared" si="11"/>
        <v>5.7709752211953331</v>
      </c>
    </row>
    <row r="354" spans="1:14" x14ac:dyDescent="0.25">
      <c r="A354" s="2" t="s">
        <v>704</v>
      </c>
      <c r="B354" s="2" t="s">
        <v>705</v>
      </c>
      <c r="C354" s="4">
        <v>40.1</v>
      </c>
      <c r="D354" s="5">
        <v>1339035.625</v>
      </c>
      <c r="E354" s="5">
        <v>1421958.8125</v>
      </c>
      <c r="F354" s="5">
        <v>1035010.875</v>
      </c>
      <c r="G354" s="3">
        <v>6</v>
      </c>
      <c r="H354" s="3">
        <v>4</v>
      </c>
      <c r="I354" s="3">
        <v>4</v>
      </c>
      <c r="J354" s="6">
        <v>6.406440382941688</v>
      </c>
      <c r="K354" s="6">
        <v>3.9024519549370442</v>
      </c>
      <c r="L354" s="6">
        <v>3.851909994767138</v>
      </c>
      <c r="M354" s="8">
        <f t="shared" si="10"/>
        <v>4.7202674442152892</v>
      </c>
      <c r="N354" s="1">
        <f t="shared" si="11"/>
        <v>1.4604872498260209</v>
      </c>
    </row>
    <row r="355" spans="1:14" x14ac:dyDescent="0.25">
      <c r="A355" s="2" t="s">
        <v>706</v>
      </c>
      <c r="B355" s="2" t="s">
        <v>707</v>
      </c>
      <c r="C355" s="4">
        <v>26</v>
      </c>
      <c r="D355" s="5">
        <v>102285891.875</v>
      </c>
      <c r="E355" s="5">
        <v>84395023.25</v>
      </c>
      <c r="F355" s="5">
        <v>86886331.875</v>
      </c>
      <c r="G355" s="3">
        <v>39</v>
      </c>
      <c r="H355" s="3">
        <v>47</v>
      </c>
      <c r="I355" s="3">
        <v>59</v>
      </c>
      <c r="J355" s="6">
        <v>41.641862489120975</v>
      </c>
      <c r="K355" s="6">
        <v>45.853810470510275</v>
      </c>
      <c r="L355" s="6">
        <v>56.815672422815283</v>
      </c>
      <c r="M355" s="8">
        <f t="shared" si="10"/>
        <v>48.103781794148837</v>
      </c>
      <c r="N355" s="1">
        <f t="shared" si="11"/>
        <v>7.8331286976448773</v>
      </c>
    </row>
    <row r="356" spans="1:14" x14ac:dyDescent="0.25">
      <c r="A356" s="2" t="s">
        <v>708</v>
      </c>
      <c r="B356" s="2" t="s">
        <v>709</v>
      </c>
      <c r="C356" s="4">
        <v>16.7</v>
      </c>
      <c r="D356" s="5">
        <v>6175095.5</v>
      </c>
      <c r="E356" s="5">
        <v>4115375.5</v>
      </c>
      <c r="F356" s="5">
        <v>9462849.5</v>
      </c>
      <c r="G356" s="3">
        <v>18</v>
      </c>
      <c r="H356" s="3">
        <v>17</v>
      </c>
      <c r="I356" s="3">
        <v>18</v>
      </c>
      <c r="J356" s="6">
        <v>19.219321148825067</v>
      </c>
      <c r="K356" s="6">
        <v>16.585420808482439</v>
      </c>
      <c r="L356" s="6">
        <v>17.333594976452119</v>
      </c>
      <c r="M356" s="8">
        <f t="shared" si="10"/>
        <v>17.712778977919875</v>
      </c>
      <c r="N356" s="1">
        <f t="shared" si="11"/>
        <v>1.3572741546721785</v>
      </c>
    </row>
    <row r="357" spans="1:14" x14ac:dyDescent="0.25">
      <c r="A357" s="2" t="s">
        <v>710</v>
      </c>
      <c r="B357" s="2" t="s">
        <v>711</v>
      </c>
      <c r="C357" s="4">
        <v>29.6</v>
      </c>
      <c r="D357" s="5">
        <v>14751370.34375</v>
      </c>
      <c r="E357" s="5">
        <v>12473351.1875</v>
      </c>
      <c r="F357" s="5">
        <v>9184771.6875</v>
      </c>
      <c r="G357" s="3">
        <v>14</v>
      </c>
      <c r="H357" s="3">
        <v>13</v>
      </c>
      <c r="I357" s="3">
        <v>12</v>
      </c>
      <c r="J357" s="6">
        <v>14.948360893530607</v>
      </c>
      <c r="K357" s="6">
        <v>12.682968853545393</v>
      </c>
      <c r="L357" s="6">
        <v>11.555729984301413</v>
      </c>
      <c r="M357" s="8">
        <f t="shared" si="10"/>
        <v>13.062353243792472</v>
      </c>
      <c r="N357" s="1">
        <f t="shared" si="11"/>
        <v>1.7278412856037126</v>
      </c>
    </row>
    <row r="358" spans="1:14" x14ac:dyDescent="0.25">
      <c r="A358" s="2" t="s">
        <v>712</v>
      </c>
      <c r="B358" s="2" t="s">
        <v>713</v>
      </c>
      <c r="C358" s="4">
        <v>27.2</v>
      </c>
      <c r="D358" s="5">
        <v>12552989.21875</v>
      </c>
      <c r="E358" s="5">
        <v>3447205.34375</v>
      </c>
      <c r="F358" s="5">
        <v>10647017.90625</v>
      </c>
      <c r="G358" s="3">
        <v>11</v>
      </c>
      <c r="H358" s="3">
        <v>10</v>
      </c>
      <c r="I358" s="3">
        <v>12</v>
      </c>
      <c r="J358" s="6">
        <v>11.745140702059762</v>
      </c>
      <c r="K358" s="6">
        <v>9.7561298873426114</v>
      </c>
      <c r="L358" s="6">
        <v>11.555729984301413</v>
      </c>
      <c r="M358" s="8">
        <f t="shared" si="10"/>
        <v>11.019000191234596</v>
      </c>
      <c r="N358" s="1">
        <f t="shared" si="11"/>
        <v>1.0977705399306394</v>
      </c>
    </row>
    <row r="359" spans="1:14" x14ac:dyDescent="0.25">
      <c r="A359" s="2" t="s">
        <v>714</v>
      </c>
      <c r="B359" s="2" t="s">
        <v>715</v>
      </c>
      <c r="C359" s="4">
        <v>14.5</v>
      </c>
      <c r="D359" s="5">
        <v>29722947.25</v>
      </c>
      <c r="E359" s="5">
        <v>27051919</v>
      </c>
      <c r="F359" s="5">
        <v>23710784</v>
      </c>
      <c r="G359" s="3">
        <v>18</v>
      </c>
      <c r="H359" s="3">
        <v>13</v>
      </c>
      <c r="I359" s="3">
        <v>12</v>
      </c>
      <c r="J359" s="6">
        <v>19.219321148825067</v>
      </c>
      <c r="K359" s="6">
        <v>12.682968853545393</v>
      </c>
      <c r="L359" s="6">
        <v>11.555729984301413</v>
      </c>
      <c r="M359" s="8">
        <f t="shared" si="10"/>
        <v>14.486006662223957</v>
      </c>
      <c r="N359" s="1">
        <f t="shared" si="11"/>
        <v>4.1377368680094397</v>
      </c>
    </row>
    <row r="360" spans="1:14" x14ac:dyDescent="0.25">
      <c r="A360" s="2" t="s">
        <v>716</v>
      </c>
      <c r="B360" s="2" t="s">
        <v>717</v>
      </c>
      <c r="C360" s="4">
        <v>20.7</v>
      </c>
      <c r="D360" s="5">
        <v>5245827.5</v>
      </c>
      <c r="E360" s="5">
        <v>8464617</v>
      </c>
      <c r="F360" s="5">
        <v>7380460</v>
      </c>
      <c r="G360" s="3">
        <v>26</v>
      </c>
      <c r="H360" s="3">
        <v>26</v>
      </c>
      <c r="I360" s="3">
        <v>26</v>
      </c>
      <c r="J360" s="6">
        <v>27.761241659413983</v>
      </c>
      <c r="K360" s="6">
        <v>25.365937707090787</v>
      </c>
      <c r="L360" s="6">
        <v>25.037414965986393</v>
      </c>
      <c r="M360" s="8">
        <f t="shared" si="10"/>
        <v>26.054864777497055</v>
      </c>
      <c r="N360" s="1">
        <f t="shared" si="11"/>
        <v>1.4868669561232073</v>
      </c>
    </row>
    <row r="361" spans="1:14" x14ac:dyDescent="0.25">
      <c r="A361" s="2" t="s">
        <v>718</v>
      </c>
      <c r="B361" s="2" t="s">
        <v>719</v>
      </c>
      <c r="C361" s="4">
        <v>70.900000000000006</v>
      </c>
      <c r="D361" s="5">
        <v>0</v>
      </c>
      <c r="E361" s="5">
        <v>27587.259765625</v>
      </c>
      <c r="F361" s="5">
        <v>3645748.875</v>
      </c>
      <c r="G361" s="3"/>
      <c r="H361" s="3">
        <v>50</v>
      </c>
      <c r="I361" s="3">
        <v>46</v>
      </c>
      <c r="J361" s="6" t="s">
        <v>986</v>
      </c>
      <c r="K361" s="6">
        <v>48.780649436713055</v>
      </c>
      <c r="L361" s="6">
        <v>44.296964939822082</v>
      </c>
      <c r="M361" s="8">
        <f t="shared" si="10"/>
        <v>46.538807188267569</v>
      </c>
      <c r="N361" s="1">
        <f t="shared" si="11"/>
        <v>3.1704437124526006</v>
      </c>
    </row>
    <row r="362" spans="1:14" x14ac:dyDescent="0.25">
      <c r="A362" s="2" t="s">
        <v>720</v>
      </c>
      <c r="B362" s="2" t="s">
        <v>721</v>
      </c>
      <c r="C362" s="4">
        <v>71.099999999999994</v>
      </c>
      <c r="D362" s="5">
        <v>45099956.5</v>
      </c>
      <c r="E362" s="5">
        <v>38812752.75</v>
      </c>
      <c r="F362" s="5">
        <v>50258900.625</v>
      </c>
      <c r="G362" s="3">
        <v>14</v>
      </c>
      <c r="H362" s="3">
        <v>16</v>
      </c>
      <c r="I362" s="3">
        <v>16</v>
      </c>
      <c r="J362" s="6">
        <v>14.948360893530607</v>
      </c>
      <c r="K362" s="6">
        <v>15.609807819748177</v>
      </c>
      <c r="L362" s="6">
        <v>15.407639979068552</v>
      </c>
      <c r="M362" s="8">
        <f t="shared" si="10"/>
        <v>15.321936230782446</v>
      </c>
      <c r="N362" s="1">
        <f t="shared" si="11"/>
        <v>0.33894963992219274</v>
      </c>
    </row>
    <row r="363" spans="1:14" x14ac:dyDescent="0.25">
      <c r="A363" s="2" t="s">
        <v>722</v>
      </c>
      <c r="B363" s="2" t="s">
        <v>723</v>
      </c>
      <c r="C363" s="4">
        <v>41.6</v>
      </c>
      <c r="D363" s="5">
        <v>4463529</v>
      </c>
      <c r="E363" s="5">
        <v>3557705.078125</v>
      </c>
      <c r="F363" s="5">
        <v>902770.78125</v>
      </c>
      <c r="G363" s="3">
        <v>3</v>
      </c>
      <c r="H363" s="3">
        <v>4</v>
      </c>
      <c r="I363" s="3">
        <v>3</v>
      </c>
      <c r="J363" s="6">
        <v>3.203220191470844</v>
      </c>
      <c r="K363" s="6">
        <v>3.9024519549370442</v>
      </c>
      <c r="L363" s="6">
        <v>2.8889324960753533</v>
      </c>
      <c r="M363" s="8">
        <f t="shared" si="10"/>
        <v>3.3315348808277476</v>
      </c>
      <c r="N363" s="1">
        <f t="shared" si="11"/>
        <v>0.51880046067962371</v>
      </c>
    </row>
    <row r="364" spans="1:14" x14ac:dyDescent="0.25">
      <c r="A364" s="2" t="s">
        <v>724</v>
      </c>
      <c r="B364" s="2" t="s">
        <v>725</v>
      </c>
      <c r="C364" s="4">
        <v>12.4</v>
      </c>
      <c r="D364" s="5">
        <v>548865.9375</v>
      </c>
      <c r="E364" s="5">
        <v>324405.96875</v>
      </c>
      <c r="F364" s="5">
        <v>507116.28125</v>
      </c>
      <c r="G364" s="3">
        <v>6</v>
      </c>
      <c r="H364" s="3">
        <v>5</v>
      </c>
      <c r="I364" s="3">
        <v>4</v>
      </c>
      <c r="J364" s="6">
        <v>6.406440382941688</v>
      </c>
      <c r="K364" s="6">
        <v>4.8780649436713057</v>
      </c>
      <c r="L364" s="6">
        <v>3.851909994767138</v>
      </c>
      <c r="M364" s="8">
        <f t="shared" si="10"/>
        <v>5.045471773793377</v>
      </c>
      <c r="N364" s="1">
        <f t="shared" si="11"/>
        <v>1.2854669039323603</v>
      </c>
    </row>
    <row r="365" spans="1:14" x14ac:dyDescent="0.25">
      <c r="A365" s="2" t="s">
        <v>726</v>
      </c>
      <c r="B365" s="2" t="s">
        <v>727</v>
      </c>
      <c r="C365" s="4">
        <v>38.6</v>
      </c>
      <c r="D365" s="5">
        <v>8411843.40625</v>
      </c>
      <c r="E365" s="5">
        <v>5576162.5</v>
      </c>
      <c r="F365" s="5">
        <v>6697588.90625</v>
      </c>
      <c r="G365" s="3">
        <v>15</v>
      </c>
      <c r="H365" s="3">
        <v>9</v>
      </c>
      <c r="I365" s="3">
        <v>12</v>
      </c>
      <c r="J365" s="6">
        <v>16.016100957354219</v>
      </c>
      <c r="K365" s="6">
        <v>8.7805168986083508</v>
      </c>
      <c r="L365" s="6">
        <v>11.555729984301413</v>
      </c>
      <c r="M365" s="8">
        <f t="shared" si="10"/>
        <v>12.117449280087994</v>
      </c>
      <c r="N365" s="1">
        <f t="shared" si="11"/>
        <v>3.6503514342099495</v>
      </c>
    </row>
    <row r="366" spans="1:14" x14ac:dyDescent="0.25">
      <c r="A366" s="2" t="s">
        <v>728</v>
      </c>
      <c r="B366" s="2" t="s">
        <v>729</v>
      </c>
      <c r="C366" s="4">
        <v>26.5</v>
      </c>
      <c r="D366" s="5">
        <v>4574437</v>
      </c>
      <c r="E366" s="5">
        <v>3968651.5</v>
      </c>
      <c r="F366" s="5">
        <v>4639715</v>
      </c>
      <c r="G366" s="3">
        <v>14</v>
      </c>
      <c r="H366" s="3">
        <v>13</v>
      </c>
      <c r="I366" s="3">
        <v>12</v>
      </c>
      <c r="J366" s="6">
        <v>14.948360893530607</v>
      </c>
      <c r="K366" s="6">
        <v>12.682968853545393</v>
      </c>
      <c r="L366" s="6">
        <v>11.555729984301413</v>
      </c>
      <c r="M366" s="8">
        <f t="shared" si="10"/>
        <v>13.062353243792472</v>
      </c>
      <c r="N366" s="1">
        <f t="shared" si="11"/>
        <v>1.7278412856037126</v>
      </c>
    </row>
    <row r="367" spans="1:14" x14ac:dyDescent="0.25">
      <c r="A367" s="2" t="s">
        <v>730</v>
      </c>
      <c r="B367" s="2" t="s">
        <v>731</v>
      </c>
      <c r="C367" s="4">
        <v>36</v>
      </c>
      <c r="D367" s="5">
        <v>4910043.1875</v>
      </c>
      <c r="E367" s="5">
        <v>5213831.1875</v>
      </c>
      <c r="F367" s="5">
        <v>5265579.65625</v>
      </c>
      <c r="G367" s="3">
        <v>40</v>
      </c>
      <c r="H367" s="3">
        <v>41</v>
      </c>
      <c r="I367" s="3">
        <v>40</v>
      </c>
      <c r="J367" s="6">
        <v>42.709602552944588</v>
      </c>
      <c r="K367" s="6">
        <v>40.000132538104708</v>
      </c>
      <c r="L367" s="6">
        <v>38.519099947671378</v>
      </c>
      <c r="M367" s="8">
        <f t="shared" si="10"/>
        <v>40.409611679573558</v>
      </c>
      <c r="N367" s="1">
        <f t="shared" si="11"/>
        <v>2.1250489163014437</v>
      </c>
    </row>
    <row r="368" spans="1:14" x14ac:dyDescent="0.25">
      <c r="A368" s="2" t="s">
        <v>732</v>
      </c>
      <c r="B368" s="2" t="s">
        <v>733</v>
      </c>
      <c r="C368" s="4">
        <v>24.1</v>
      </c>
      <c r="D368" s="5">
        <v>4772683.625</v>
      </c>
      <c r="E368" s="5">
        <v>6052704.4765625</v>
      </c>
      <c r="F368" s="5">
        <v>6635195.375</v>
      </c>
      <c r="G368" s="3">
        <v>16</v>
      </c>
      <c r="H368" s="3">
        <v>18</v>
      </c>
      <c r="I368" s="3">
        <v>14</v>
      </c>
      <c r="J368" s="6">
        <v>17.083841021177836</v>
      </c>
      <c r="K368" s="6">
        <v>17.561033797216702</v>
      </c>
      <c r="L368" s="6">
        <v>13.481684981684982</v>
      </c>
      <c r="M368" s="8">
        <f t="shared" si="10"/>
        <v>16.042186600026508</v>
      </c>
      <c r="N368" s="1">
        <f t="shared" si="11"/>
        <v>2.2302588727596282</v>
      </c>
    </row>
    <row r="369" spans="1:14" x14ac:dyDescent="0.25">
      <c r="A369" s="2" t="s">
        <v>734</v>
      </c>
      <c r="B369" s="2" t="s">
        <v>735</v>
      </c>
      <c r="C369" s="4">
        <v>16.2</v>
      </c>
      <c r="D369" s="5">
        <v>0</v>
      </c>
      <c r="E369" s="5">
        <v>50559449.2109375</v>
      </c>
      <c r="F369" s="5">
        <v>0</v>
      </c>
      <c r="G369" s="3"/>
      <c r="H369" s="3">
        <v>20</v>
      </c>
      <c r="I369" s="3"/>
      <c r="J369" s="6" t="s">
        <v>986</v>
      </c>
      <c r="K369" s="6">
        <v>19.512259774685223</v>
      </c>
      <c r="L369" s="6" t="s">
        <v>986</v>
      </c>
      <c r="M369" s="8">
        <f t="shared" si="10"/>
        <v>19.512259774685223</v>
      </c>
      <c r="N369" s="1" t="e">
        <f t="shared" si="11"/>
        <v>#DIV/0!</v>
      </c>
    </row>
    <row r="370" spans="1:14" x14ac:dyDescent="0.25">
      <c r="A370" s="2" t="s">
        <v>736</v>
      </c>
      <c r="B370" s="2" t="s">
        <v>737</v>
      </c>
      <c r="C370" s="4">
        <v>20</v>
      </c>
      <c r="D370" s="5">
        <v>5355546.234375</v>
      </c>
      <c r="E370" s="5">
        <v>6026465.65625</v>
      </c>
      <c r="F370" s="5">
        <v>7436441.71875</v>
      </c>
      <c r="G370" s="3">
        <v>10</v>
      </c>
      <c r="H370" s="3">
        <v>11</v>
      </c>
      <c r="I370" s="3">
        <v>11</v>
      </c>
      <c r="J370" s="6">
        <v>10.677400638236147</v>
      </c>
      <c r="K370" s="6">
        <v>10.731742876076872</v>
      </c>
      <c r="L370" s="6">
        <v>10.592752485609628</v>
      </c>
      <c r="M370" s="8">
        <f t="shared" si="10"/>
        <v>10.667298666640882</v>
      </c>
      <c r="N370" s="1">
        <f t="shared" si="11"/>
        <v>7.0043697312055786E-2</v>
      </c>
    </row>
    <row r="371" spans="1:14" x14ac:dyDescent="0.25">
      <c r="A371" s="2" t="s">
        <v>738</v>
      </c>
      <c r="B371" s="2" t="s">
        <v>739</v>
      </c>
      <c r="C371" s="4">
        <v>18.2</v>
      </c>
      <c r="D371" s="5">
        <v>3409142.28125</v>
      </c>
      <c r="E371" s="5">
        <v>3808706</v>
      </c>
      <c r="F371" s="5">
        <v>3430540.25</v>
      </c>
      <c r="G371" s="3">
        <v>13</v>
      </c>
      <c r="H371" s="3">
        <v>11</v>
      </c>
      <c r="I371" s="3">
        <v>11</v>
      </c>
      <c r="J371" s="6">
        <v>13.880620829706992</v>
      </c>
      <c r="K371" s="6">
        <v>10.731742876076872</v>
      </c>
      <c r="L371" s="6">
        <v>10.592752485609628</v>
      </c>
      <c r="M371" s="8">
        <f t="shared" si="10"/>
        <v>11.735038730464497</v>
      </c>
      <c r="N371" s="1">
        <f t="shared" si="11"/>
        <v>1.8594277320194239</v>
      </c>
    </row>
    <row r="372" spans="1:14" x14ac:dyDescent="0.25">
      <c r="A372" s="2" t="s">
        <v>740</v>
      </c>
      <c r="B372" s="2" t="s">
        <v>741</v>
      </c>
      <c r="C372" s="4">
        <v>54.8</v>
      </c>
      <c r="D372" s="5">
        <v>0</v>
      </c>
      <c r="E372" s="5">
        <v>543617.4375</v>
      </c>
      <c r="F372" s="5">
        <v>744783.421875</v>
      </c>
      <c r="G372" s="3"/>
      <c r="H372" s="3">
        <v>2</v>
      </c>
      <c r="I372" s="3">
        <v>2</v>
      </c>
      <c r="J372" s="6" t="s">
        <v>986</v>
      </c>
      <c r="K372" s="6">
        <v>1.9512259774685221</v>
      </c>
      <c r="L372" s="6">
        <v>1.925954997383569</v>
      </c>
      <c r="M372" s="8">
        <f t="shared" si="10"/>
        <v>1.9385904874260456</v>
      </c>
      <c r="N372" s="1">
        <f t="shared" si="11"/>
        <v>1.7869281385300532E-2</v>
      </c>
    </row>
    <row r="373" spans="1:14" x14ac:dyDescent="0.25">
      <c r="A373" s="2" t="s">
        <v>742</v>
      </c>
      <c r="B373" s="2" t="s">
        <v>743</v>
      </c>
      <c r="C373" s="4">
        <v>18.7</v>
      </c>
      <c r="D373" s="5">
        <v>21952664</v>
      </c>
      <c r="E373" s="5">
        <v>23118778</v>
      </c>
      <c r="F373" s="5">
        <v>15112003.5</v>
      </c>
      <c r="G373" s="3">
        <v>28</v>
      </c>
      <c r="H373" s="3">
        <v>25</v>
      </c>
      <c r="I373" s="3">
        <v>25</v>
      </c>
      <c r="J373" s="6">
        <v>29.896721787061214</v>
      </c>
      <c r="K373" s="6">
        <v>24.390324718356528</v>
      </c>
      <c r="L373" s="6">
        <v>24.074437467294612</v>
      </c>
      <c r="M373" s="8">
        <f t="shared" si="10"/>
        <v>26.120494657570784</v>
      </c>
      <c r="N373" s="1">
        <f t="shared" si="11"/>
        <v>3.274120445092191</v>
      </c>
    </row>
    <row r="374" spans="1:14" x14ac:dyDescent="0.25">
      <c r="A374" s="2" t="s">
        <v>744</v>
      </c>
      <c r="B374" s="2" t="s">
        <v>745</v>
      </c>
      <c r="C374" s="4">
        <v>17.2</v>
      </c>
      <c r="D374" s="5">
        <v>16711120.5</v>
      </c>
      <c r="E374" s="5">
        <v>12589753.875</v>
      </c>
      <c r="F374" s="5">
        <v>1254857.125</v>
      </c>
      <c r="G374" s="3">
        <v>23</v>
      </c>
      <c r="H374" s="3">
        <v>24</v>
      </c>
      <c r="I374" s="3">
        <v>25</v>
      </c>
      <c r="J374" s="6">
        <v>24.558021467943139</v>
      </c>
      <c r="K374" s="6">
        <v>23.414711729622269</v>
      </c>
      <c r="L374" s="6">
        <v>24.074437467294612</v>
      </c>
      <c r="M374" s="8">
        <f t="shared" si="10"/>
        <v>24.01572355495334</v>
      </c>
      <c r="N374" s="1">
        <f t="shared" si="11"/>
        <v>0.57391182429154375</v>
      </c>
    </row>
    <row r="375" spans="1:14" x14ac:dyDescent="0.25">
      <c r="A375" s="2" t="s">
        <v>746</v>
      </c>
      <c r="B375" s="2" t="s">
        <v>747</v>
      </c>
      <c r="C375" s="4">
        <v>22.1</v>
      </c>
      <c r="D375" s="5">
        <v>83114202.5625</v>
      </c>
      <c r="E375" s="5">
        <v>47234509.6875</v>
      </c>
      <c r="F375" s="5">
        <v>54572754.71875</v>
      </c>
      <c r="G375" s="3">
        <v>28</v>
      </c>
      <c r="H375" s="3">
        <v>23</v>
      </c>
      <c r="I375" s="3">
        <v>26</v>
      </c>
      <c r="J375" s="6">
        <v>29.896721787061214</v>
      </c>
      <c r="K375" s="6">
        <v>22.439098740888006</v>
      </c>
      <c r="L375" s="6">
        <v>25.037414965986393</v>
      </c>
      <c r="M375" s="8">
        <f t="shared" si="10"/>
        <v>25.791078497978543</v>
      </c>
      <c r="N375" s="1">
        <f t="shared" si="11"/>
        <v>3.7855041823110409</v>
      </c>
    </row>
    <row r="376" spans="1:14" x14ac:dyDescent="0.25">
      <c r="A376" s="2" t="s">
        <v>748</v>
      </c>
      <c r="B376" s="2" t="s">
        <v>749</v>
      </c>
      <c r="C376" s="4">
        <v>20.5</v>
      </c>
      <c r="D376" s="5">
        <v>7433125.234375</v>
      </c>
      <c r="E376" s="5">
        <v>7153007.625</v>
      </c>
      <c r="F376" s="5">
        <v>6771082</v>
      </c>
      <c r="G376" s="3">
        <v>21</v>
      </c>
      <c r="H376" s="3">
        <v>17</v>
      </c>
      <c r="I376" s="3">
        <v>14</v>
      </c>
      <c r="J376" s="6">
        <v>22.422541340295911</v>
      </c>
      <c r="K376" s="6">
        <v>16.585420808482439</v>
      </c>
      <c r="L376" s="6">
        <v>13.481684981684982</v>
      </c>
      <c r="M376" s="8">
        <f t="shared" si="10"/>
        <v>17.496549043487775</v>
      </c>
      <c r="N376" s="1">
        <f t="shared" si="11"/>
        <v>4.5395312645466381</v>
      </c>
    </row>
    <row r="377" spans="1:14" x14ac:dyDescent="0.25">
      <c r="A377" s="2" t="s">
        <v>750</v>
      </c>
      <c r="B377" s="2" t="s">
        <v>751</v>
      </c>
      <c r="C377" s="4">
        <v>60.3</v>
      </c>
      <c r="D377" s="5">
        <v>550179.0625</v>
      </c>
      <c r="E377" s="5">
        <v>523968.359375</v>
      </c>
      <c r="F377" s="5">
        <v>0</v>
      </c>
      <c r="G377" s="3">
        <v>2</v>
      </c>
      <c r="H377" s="3">
        <v>2</v>
      </c>
      <c r="I377" s="3"/>
      <c r="J377" s="6">
        <v>2.1354801276472295</v>
      </c>
      <c r="K377" s="6">
        <v>1.9512259774685221</v>
      </c>
      <c r="L377" s="6" t="s">
        <v>986</v>
      </c>
      <c r="M377" s="8">
        <f t="shared" si="10"/>
        <v>2.043353052557876</v>
      </c>
      <c r="N377" s="1">
        <f t="shared" si="11"/>
        <v>0.13028735905312849</v>
      </c>
    </row>
    <row r="378" spans="1:14" x14ac:dyDescent="0.25">
      <c r="A378" s="2" t="s">
        <v>752</v>
      </c>
      <c r="B378" s="2" t="s">
        <v>753</v>
      </c>
      <c r="C378" s="4">
        <v>46.5</v>
      </c>
      <c r="D378" s="5">
        <v>22894614.515625</v>
      </c>
      <c r="E378" s="5">
        <v>39463023.6875</v>
      </c>
      <c r="F378" s="5">
        <v>64359893.65625</v>
      </c>
      <c r="G378" s="3">
        <v>70</v>
      </c>
      <c r="H378" s="3">
        <v>78</v>
      </c>
      <c r="I378" s="3">
        <v>86</v>
      </c>
      <c r="J378" s="6">
        <v>74.74180446765304</v>
      </c>
      <c r="K378" s="6">
        <v>76.097813121272367</v>
      </c>
      <c r="L378" s="6">
        <v>82.816064887493454</v>
      </c>
      <c r="M378" s="8">
        <f t="shared" si="10"/>
        <v>77.88522749213962</v>
      </c>
      <c r="N378" s="1">
        <f t="shared" si="11"/>
        <v>4.3237203808453497</v>
      </c>
    </row>
    <row r="379" spans="1:14" x14ac:dyDescent="0.25">
      <c r="A379" s="2" t="s">
        <v>754</v>
      </c>
      <c r="B379" s="2" t="s">
        <v>755</v>
      </c>
      <c r="C379" s="4">
        <v>14.7</v>
      </c>
      <c r="D379" s="5">
        <v>16381242.5625</v>
      </c>
      <c r="E379" s="5">
        <v>13477980.75</v>
      </c>
      <c r="F379" s="5">
        <v>12806710.59375</v>
      </c>
      <c r="G379" s="3">
        <v>17</v>
      </c>
      <c r="H379" s="3">
        <v>13</v>
      </c>
      <c r="I379" s="3">
        <v>14</v>
      </c>
      <c r="J379" s="6">
        <v>18.15158108500145</v>
      </c>
      <c r="K379" s="6">
        <v>12.682968853545393</v>
      </c>
      <c r="L379" s="6">
        <v>13.481684981684982</v>
      </c>
      <c r="M379" s="8">
        <f t="shared" si="10"/>
        <v>14.772078306743941</v>
      </c>
      <c r="N379" s="1">
        <f t="shared" si="11"/>
        <v>2.9538561465523792</v>
      </c>
    </row>
    <row r="380" spans="1:14" x14ac:dyDescent="0.25">
      <c r="A380" s="2" t="s">
        <v>756</v>
      </c>
      <c r="B380" s="2" t="s">
        <v>757</v>
      </c>
      <c r="C380" s="4">
        <v>21.1</v>
      </c>
      <c r="D380" s="5">
        <v>265593.3046875</v>
      </c>
      <c r="E380" s="5">
        <v>325332.21875</v>
      </c>
      <c r="F380" s="5">
        <v>360828.640625</v>
      </c>
      <c r="G380" s="3">
        <v>2</v>
      </c>
      <c r="H380" s="3">
        <v>4</v>
      </c>
      <c r="I380" s="3">
        <v>4</v>
      </c>
      <c r="J380" s="6">
        <v>2.1354801276472295</v>
      </c>
      <c r="K380" s="6">
        <v>3.9024519549370442</v>
      </c>
      <c r="L380" s="6">
        <v>3.851909994767138</v>
      </c>
      <c r="M380" s="8">
        <f t="shared" si="10"/>
        <v>3.2966140257838035</v>
      </c>
      <c r="N380" s="1">
        <f t="shared" si="11"/>
        <v>1.0058889449068604</v>
      </c>
    </row>
    <row r="381" spans="1:14" x14ac:dyDescent="0.25">
      <c r="A381" s="2" t="s">
        <v>758</v>
      </c>
      <c r="B381" s="2" t="s">
        <v>759</v>
      </c>
      <c r="C381" s="4">
        <v>19.600000000000001</v>
      </c>
      <c r="D381" s="5">
        <v>608507.6875</v>
      </c>
      <c r="E381" s="5">
        <v>449289.28125</v>
      </c>
      <c r="F381" s="5">
        <v>565329.0625</v>
      </c>
      <c r="G381" s="3">
        <v>4</v>
      </c>
      <c r="H381" s="3">
        <v>3</v>
      </c>
      <c r="I381" s="3">
        <v>2</v>
      </c>
      <c r="J381" s="6">
        <v>4.270960255294459</v>
      </c>
      <c r="K381" s="6">
        <v>2.9268389662027836</v>
      </c>
      <c r="L381" s="6">
        <v>1.925954997383569</v>
      </c>
      <c r="M381" s="8">
        <f t="shared" si="10"/>
        <v>3.041251406293604</v>
      </c>
      <c r="N381" s="1">
        <f t="shared" si="11"/>
        <v>1.1766818047981706</v>
      </c>
    </row>
    <row r="382" spans="1:14" x14ac:dyDescent="0.25">
      <c r="A382" s="2" t="s">
        <v>760</v>
      </c>
      <c r="B382" s="2" t="s">
        <v>761</v>
      </c>
      <c r="C382" s="4">
        <v>63.3</v>
      </c>
      <c r="D382" s="5">
        <v>0</v>
      </c>
      <c r="E382" s="5">
        <v>491434.48828125</v>
      </c>
      <c r="F382" s="5">
        <v>360446.40625</v>
      </c>
      <c r="G382" s="3"/>
      <c r="H382" s="3">
        <v>2</v>
      </c>
      <c r="I382" s="3">
        <v>3</v>
      </c>
      <c r="J382" s="6" t="s">
        <v>986</v>
      </c>
      <c r="K382" s="6">
        <v>1.9512259774685221</v>
      </c>
      <c r="L382" s="6">
        <v>2.8889324960753533</v>
      </c>
      <c r="M382" s="8">
        <f t="shared" si="10"/>
        <v>2.4200792367719375</v>
      </c>
      <c r="N382" s="1">
        <f t="shared" si="11"/>
        <v>0.66305863806972154</v>
      </c>
    </row>
    <row r="383" spans="1:14" x14ac:dyDescent="0.25">
      <c r="A383" s="2" t="s">
        <v>762</v>
      </c>
      <c r="B383" s="2" t="s">
        <v>763</v>
      </c>
      <c r="C383" s="4">
        <v>36.1</v>
      </c>
      <c r="D383" s="5">
        <v>141265.96875</v>
      </c>
      <c r="E383" s="5">
        <v>730447.78125</v>
      </c>
      <c r="F383" s="5">
        <v>692133</v>
      </c>
      <c r="G383" s="3">
        <v>13</v>
      </c>
      <c r="H383" s="3">
        <v>12</v>
      </c>
      <c r="I383" s="3">
        <v>11</v>
      </c>
      <c r="J383" s="6">
        <v>13.880620829706992</v>
      </c>
      <c r="K383" s="6">
        <v>11.707355864811134</v>
      </c>
      <c r="L383" s="6">
        <v>10.592752485609628</v>
      </c>
      <c r="M383" s="8">
        <f t="shared" si="10"/>
        <v>12.060243060042586</v>
      </c>
      <c r="N383" s="1">
        <f t="shared" si="11"/>
        <v>1.6720994562071076</v>
      </c>
    </row>
    <row r="384" spans="1:14" x14ac:dyDescent="0.25">
      <c r="A384" s="2" t="s">
        <v>764</v>
      </c>
      <c r="B384" s="2" t="s">
        <v>765</v>
      </c>
      <c r="C384" s="4">
        <v>16.3</v>
      </c>
      <c r="D384" s="5">
        <v>872841.75</v>
      </c>
      <c r="E384" s="5">
        <v>1208147.875</v>
      </c>
      <c r="F384" s="5">
        <v>1253927.25</v>
      </c>
      <c r="G384" s="3">
        <v>33</v>
      </c>
      <c r="H384" s="3">
        <v>29</v>
      </c>
      <c r="I384" s="3">
        <v>27</v>
      </c>
      <c r="J384" s="6">
        <v>35.235422106179286</v>
      </c>
      <c r="K384" s="6">
        <v>28.29277667329357</v>
      </c>
      <c r="L384" s="6">
        <v>26.000392464678178</v>
      </c>
      <c r="M384" s="8">
        <f t="shared" si="10"/>
        <v>29.842863748050348</v>
      </c>
      <c r="N384" s="1">
        <f t="shared" si="11"/>
        <v>4.8086921896027706</v>
      </c>
    </row>
    <row r="385" spans="1:14" x14ac:dyDescent="0.25">
      <c r="A385" s="2" t="s">
        <v>766</v>
      </c>
      <c r="B385" s="2" t="s">
        <v>767</v>
      </c>
      <c r="C385" s="4">
        <v>29.9</v>
      </c>
      <c r="D385" s="5">
        <v>815858.3125</v>
      </c>
      <c r="E385" s="5">
        <v>1893905.84375</v>
      </c>
      <c r="F385" s="5">
        <v>1332081.609375</v>
      </c>
      <c r="G385" s="3">
        <v>3</v>
      </c>
      <c r="H385" s="3">
        <v>5</v>
      </c>
      <c r="I385" s="3">
        <v>3</v>
      </c>
      <c r="J385" s="6">
        <v>3.203220191470844</v>
      </c>
      <c r="K385" s="6">
        <v>4.8780649436713057</v>
      </c>
      <c r="L385" s="6">
        <v>2.8889324960753533</v>
      </c>
      <c r="M385" s="8">
        <f t="shared" si="10"/>
        <v>3.6567392104058345</v>
      </c>
      <c r="N385" s="1">
        <f t="shared" si="11"/>
        <v>1.0693089352107688</v>
      </c>
    </row>
    <row r="386" spans="1:14" x14ac:dyDescent="0.25">
      <c r="A386" s="2" t="s">
        <v>768</v>
      </c>
      <c r="B386" s="2" t="s">
        <v>769</v>
      </c>
      <c r="C386" s="4">
        <v>30</v>
      </c>
      <c r="D386" s="5">
        <v>0</v>
      </c>
      <c r="E386" s="5">
        <v>249780.0859375</v>
      </c>
      <c r="F386" s="5">
        <v>326789.296875</v>
      </c>
      <c r="G386" s="3"/>
      <c r="H386" s="3">
        <v>11</v>
      </c>
      <c r="I386" s="3">
        <v>13</v>
      </c>
      <c r="J386" s="6" t="s">
        <v>986</v>
      </c>
      <c r="K386" s="6">
        <v>10.731742876076872</v>
      </c>
      <c r="L386" s="6">
        <v>12.518707482993197</v>
      </c>
      <c r="M386" s="8">
        <f t="shared" si="10"/>
        <v>11.625225179535034</v>
      </c>
      <c r="N386" s="1">
        <f t="shared" si="11"/>
        <v>1.2635747912908863</v>
      </c>
    </row>
    <row r="387" spans="1:14" x14ac:dyDescent="0.25">
      <c r="A387" s="2" t="s">
        <v>770</v>
      </c>
      <c r="B387" s="2" t="s">
        <v>771</v>
      </c>
      <c r="C387" s="4">
        <v>14.9</v>
      </c>
      <c r="D387" s="5">
        <v>848294.5625</v>
      </c>
      <c r="E387" s="5">
        <v>8784645</v>
      </c>
      <c r="F387" s="5">
        <v>28444690.25</v>
      </c>
      <c r="G387" s="3">
        <v>7</v>
      </c>
      <c r="H387" s="3">
        <v>6</v>
      </c>
      <c r="I387" s="3">
        <v>6</v>
      </c>
      <c r="J387" s="6">
        <v>7.4741804467653035</v>
      </c>
      <c r="K387" s="6">
        <v>5.8536779324055672</v>
      </c>
      <c r="L387" s="6">
        <v>5.7778649921507066</v>
      </c>
      <c r="M387" s="8">
        <f t="shared" si="10"/>
        <v>6.3685744571071927</v>
      </c>
      <c r="N387" s="1">
        <f t="shared" si="11"/>
        <v>0.95823293293094691</v>
      </c>
    </row>
    <row r="388" spans="1:14" x14ac:dyDescent="0.25">
      <c r="A388" s="2" t="s">
        <v>772</v>
      </c>
      <c r="B388" s="2" t="s">
        <v>773</v>
      </c>
      <c r="C388" s="4">
        <v>80.099999999999994</v>
      </c>
      <c r="D388" s="5">
        <v>0</v>
      </c>
      <c r="E388" s="5">
        <v>163167.28125</v>
      </c>
      <c r="F388" s="5">
        <v>0</v>
      </c>
      <c r="G388" s="3"/>
      <c r="H388" s="3">
        <v>17</v>
      </c>
      <c r="I388" s="3"/>
      <c r="J388" s="6" t="s">
        <v>986</v>
      </c>
      <c r="K388" s="6">
        <v>16.585420808482439</v>
      </c>
      <c r="L388" s="6" t="s">
        <v>986</v>
      </c>
      <c r="M388" s="8">
        <f t="shared" ref="M388:M451" si="12">AVERAGE(J388:L388)</f>
        <v>16.585420808482439</v>
      </c>
      <c r="N388" s="1" t="e">
        <f t="shared" ref="N388:N451" si="13">STDEV(J388:L388)</f>
        <v>#DIV/0!</v>
      </c>
    </row>
    <row r="389" spans="1:14" x14ac:dyDescent="0.25">
      <c r="A389" s="2" t="s">
        <v>774</v>
      </c>
      <c r="B389" s="2" t="s">
        <v>775</v>
      </c>
      <c r="C389" s="4">
        <v>61.3</v>
      </c>
      <c r="D389" s="5">
        <v>6283298.8359375</v>
      </c>
      <c r="E389" s="5">
        <v>5538265.8671875</v>
      </c>
      <c r="F389" s="5">
        <v>6546801.59375</v>
      </c>
      <c r="G389" s="3">
        <v>37</v>
      </c>
      <c r="H389" s="3">
        <v>37</v>
      </c>
      <c r="I389" s="3">
        <v>32</v>
      </c>
      <c r="J389" s="6">
        <v>39.506382361473747</v>
      </c>
      <c r="K389" s="6">
        <v>36.097680583167659</v>
      </c>
      <c r="L389" s="6">
        <v>30.815279958137104</v>
      </c>
      <c r="M389" s="8">
        <f t="shared" si="12"/>
        <v>35.47311430092617</v>
      </c>
      <c r="N389" s="1">
        <f t="shared" si="13"/>
        <v>4.3790840968181692</v>
      </c>
    </row>
    <row r="390" spans="1:14" x14ac:dyDescent="0.25">
      <c r="A390" s="2" t="s">
        <v>776</v>
      </c>
      <c r="B390" s="2" t="s">
        <v>777</v>
      </c>
      <c r="C390" s="4">
        <v>28.7</v>
      </c>
      <c r="D390" s="5">
        <v>75964942.875</v>
      </c>
      <c r="E390" s="5">
        <v>53543658.625</v>
      </c>
      <c r="F390" s="5">
        <v>57081678.375</v>
      </c>
      <c r="G390" s="3">
        <v>54</v>
      </c>
      <c r="H390" s="3">
        <v>72</v>
      </c>
      <c r="I390" s="3">
        <v>59</v>
      </c>
      <c r="J390" s="6">
        <v>57.657963446475193</v>
      </c>
      <c r="K390" s="6">
        <v>70.244135188866807</v>
      </c>
      <c r="L390" s="6">
        <v>56.815672422815283</v>
      </c>
      <c r="M390" s="8">
        <f t="shared" si="12"/>
        <v>61.572590352719089</v>
      </c>
      <c r="N390" s="1">
        <f t="shared" si="13"/>
        <v>7.5215776886318579</v>
      </c>
    </row>
    <row r="391" spans="1:14" x14ac:dyDescent="0.25">
      <c r="A391" s="2" t="s">
        <v>778</v>
      </c>
      <c r="B391" s="2" t="s">
        <v>779</v>
      </c>
      <c r="C391" s="4">
        <v>28.9</v>
      </c>
      <c r="D391" s="5">
        <v>2522693</v>
      </c>
      <c r="E391" s="5">
        <v>1549310.5</v>
      </c>
      <c r="F391" s="5">
        <v>1444236.125</v>
      </c>
      <c r="G391" s="3">
        <v>16</v>
      </c>
      <c r="H391" s="3">
        <v>9</v>
      </c>
      <c r="I391" s="3">
        <v>20</v>
      </c>
      <c r="J391" s="6">
        <v>17.083841021177836</v>
      </c>
      <c r="K391" s="6">
        <v>8.7805168986083508</v>
      </c>
      <c r="L391" s="6">
        <v>19.259549973835689</v>
      </c>
      <c r="M391" s="8">
        <f t="shared" si="12"/>
        <v>15.041302631207293</v>
      </c>
      <c r="N391" s="1">
        <f t="shared" si="13"/>
        <v>5.5300547785537066</v>
      </c>
    </row>
    <row r="392" spans="1:14" x14ac:dyDescent="0.25">
      <c r="A392" s="2" t="s">
        <v>780</v>
      </c>
      <c r="B392" s="2" t="s">
        <v>781</v>
      </c>
      <c r="C392" s="4">
        <v>53.9</v>
      </c>
      <c r="D392" s="5">
        <v>3665767.9296875</v>
      </c>
      <c r="E392" s="5">
        <v>2727461.52734375</v>
      </c>
      <c r="F392" s="5">
        <v>0</v>
      </c>
      <c r="G392" s="3">
        <v>15</v>
      </c>
      <c r="H392" s="3">
        <v>11</v>
      </c>
      <c r="I392" s="3"/>
      <c r="J392" s="6">
        <v>16.016100957354219</v>
      </c>
      <c r="K392" s="6">
        <v>10.731742876076872</v>
      </c>
      <c r="L392" s="6" t="s">
        <v>986</v>
      </c>
      <c r="M392" s="8">
        <f t="shared" si="12"/>
        <v>13.373921916715545</v>
      </c>
      <c r="N392" s="1">
        <f t="shared" si="13"/>
        <v>3.7366054334891472</v>
      </c>
    </row>
    <row r="393" spans="1:14" x14ac:dyDescent="0.25">
      <c r="A393" s="2" t="s">
        <v>782</v>
      </c>
      <c r="B393" s="2" t="s">
        <v>783</v>
      </c>
      <c r="C393" s="4">
        <v>30.1</v>
      </c>
      <c r="D393" s="5">
        <v>45478735.125</v>
      </c>
      <c r="E393" s="5">
        <v>1796592.84375</v>
      </c>
      <c r="F393" s="5">
        <v>872781.875</v>
      </c>
      <c r="G393" s="3">
        <v>9</v>
      </c>
      <c r="H393" s="3">
        <v>12</v>
      </c>
      <c r="I393" s="3">
        <v>13</v>
      </c>
      <c r="J393" s="6">
        <v>9.6096605744125334</v>
      </c>
      <c r="K393" s="6">
        <v>11.707355864811134</v>
      </c>
      <c r="L393" s="6">
        <v>12.518707482993197</v>
      </c>
      <c r="M393" s="8">
        <f t="shared" si="12"/>
        <v>11.278574640738954</v>
      </c>
      <c r="N393" s="1">
        <f t="shared" si="13"/>
        <v>1.501175700132495</v>
      </c>
    </row>
    <row r="394" spans="1:14" x14ac:dyDescent="0.25">
      <c r="A394" s="2" t="s">
        <v>784</v>
      </c>
      <c r="B394" s="2" t="s">
        <v>785</v>
      </c>
      <c r="C394" s="4">
        <v>17.600000000000001</v>
      </c>
      <c r="D394" s="5">
        <v>22162362.125</v>
      </c>
      <c r="E394" s="5">
        <v>15972154.75</v>
      </c>
      <c r="F394" s="5">
        <v>19464842.5625</v>
      </c>
      <c r="G394" s="3">
        <v>11</v>
      </c>
      <c r="H394" s="3">
        <v>12</v>
      </c>
      <c r="I394" s="3">
        <v>11</v>
      </c>
      <c r="J394" s="6">
        <v>11.745140702059762</v>
      </c>
      <c r="K394" s="6">
        <v>11.707355864811134</v>
      </c>
      <c r="L394" s="6">
        <v>10.592752485609628</v>
      </c>
      <c r="M394" s="8">
        <f t="shared" si="12"/>
        <v>11.348416350826843</v>
      </c>
      <c r="N394" s="1">
        <f t="shared" si="13"/>
        <v>0.65469674764561092</v>
      </c>
    </row>
    <row r="395" spans="1:14" x14ac:dyDescent="0.25">
      <c r="A395" s="2" t="s">
        <v>786</v>
      </c>
      <c r="B395" s="2" t="s">
        <v>787</v>
      </c>
      <c r="C395" s="4">
        <v>15.8</v>
      </c>
      <c r="D395" s="5">
        <v>12083563.9375</v>
      </c>
      <c r="E395" s="5">
        <v>22898049.640625</v>
      </c>
      <c r="F395" s="5">
        <v>20619562.875</v>
      </c>
      <c r="G395" s="3">
        <v>14</v>
      </c>
      <c r="H395" s="3">
        <v>13</v>
      </c>
      <c r="I395" s="3">
        <v>14</v>
      </c>
      <c r="J395" s="6">
        <v>14.948360893530607</v>
      </c>
      <c r="K395" s="6">
        <v>12.682968853545393</v>
      </c>
      <c r="L395" s="6">
        <v>13.481684981684982</v>
      </c>
      <c r="M395" s="8">
        <f t="shared" si="12"/>
        <v>13.704338242920329</v>
      </c>
      <c r="N395" s="1">
        <f t="shared" si="13"/>
        <v>1.148991353214263</v>
      </c>
    </row>
    <row r="396" spans="1:14" x14ac:dyDescent="0.25">
      <c r="A396" s="2" t="s">
        <v>788</v>
      </c>
      <c r="B396" s="2" t="s">
        <v>789</v>
      </c>
      <c r="C396" s="4">
        <v>42.7</v>
      </c>
      <c r="D396" s="5">
        <v>2989057.625</v>
      </c>
      <c r="E396" s="5">
        <v>287434.875</v>
      </c>
      <c r="F396" s="5">
        <v>1323524.984375</v>
      </c>
      <c r="G396" s="3">
        <v>5</v>
      </c>
      <c r="H396" s="3">
        <v>4</v>
      </c>
      <c r="I396" s="3">
        <v>6</v>
      </c>
      <c r="J396" s="6">
        <v>5.3387003191180735</v>
      </c>
      <c r="K396" s="6">
        <v>3.9024519549370442</v>
      </c>
      <c r="L396" s="6">
        <v>5.7778649921507066</v>
      </c>
      <c r="M396" s="8">
        <f t="shared" si="12"/>
        <v>5.0063390887352748</v>
      </c>
      <c r="N396" s="1">
        <f t="shared" si="13"/>
        <v>0.98088812085472621</v>
      </c>
    </row>
    <row r="397" spans="1:14" x14ac:dyDescent="0.25">
      <c r="A397" s="2" t="s">
        <v>790</v>
      </c>
      <c r="B397" s="2" t="s">
        <v>791</v>
      </c>
      <c r="C397" s="4">
        <v>127.1</v>
      </c>
      <c r="D397" s="5">
        <v>0</v>
      </c>
      <c r="E397" s="5">
        <v>426650.125</v>
      </c>
      <c r="F397" s="5">
        <v>0</v>
      </c>
      <c r="G397" s="3"/>
      <c r="H397" s="3">
        <v>3</v>
      </c>
      <c r="I397" s="3"/>
      <c r="J397" s="6" t="s">
        <v>986</v>
      </c>
      <c r="K397" s="6">
        <v>2.9268389662027836</v>
      </c>
      <c r="L397" s="6" t="s">
        <v>986</v>
      </c>
      <c r="M397" s="8">
        <f t="shared" si="12"/>
        <v>2.9268389662027836</v>
      </c>
      <c r="N397" s="1" t="e">
        <f t="shared" si="13"/>
        <v>#DIV/0!</v>
      </c>
    </row>
    <row r="398" spans="1:14" x14ac:dyDescent="0.25">
      <c r="A398" s="2" t="s">
        <v>792</v>
      </c>
      <c r="B398" s="2" t="s">
        <v>793</v>
      </c>
      <c r="C398" s="4">
        <v>18.8</v>
      </c>
      <c r="D398" s="5">
        <v>10458034.5625</v>
      </c>
      <c r="E398" s="5">
        <v>8282962.3125</v>
      </c>
      <c r="F398" s="5">
        <v>6833994.6875</v>
      </c>
      <c r="G398" s="3">
        <v>23</v>
      </c>
      <c r="H398" s="3">
        <v>24</v>
      </c>
      <c r="I398" s="3">
        <v>25</v>
      </c>
      <c r="J398" s="6">
        <v>24.558021467943139</v>
      </c>
      <c r="K398" s="6">
        <v>23.414711729622269</v>
      </c>
      <c r="L398" s="6">
        <v>24.074437467294612</v>
      </c>
      <c r="M398" s="8">
        <f t="shared" si="12"/>
        <v>24.01572355495334</v>
      </c>
      <c r="N398" s="1">
        <f t="shared" si="13"/>
        <v>0.57391182429154375</v>
      </c>
    </row>
    <row r="399" spans="1:14" x14ac:dyDescent="0.25">
      <c r="A399" s="2" t="s">
        <v>794</v>
      </c>
      <c r="B399" s="2" t="s">
        <v>795</v>
      </c>
      <c r="C399" s="4">
        <v>58.3</v>
      </c>
      <c r="D399" s="5">
        <v>561020.828125</v>
      </c>
      <c r="E399" s="5">
        <v>417678.8515625</v>
      </c>
      <c r="F399" s="5">
        <v>0</v>
      </c>
      <c r="G399" s="3">
        <v>3</v>
      </c>
      <c r="H399" s="3">
        <v>3</v>
      </c>
      <c r="I399" s="3"/>
      <c r="J399" s="6">
        <v>3.203220191470844</v>
      </c>
      <c r="K399" s="6">
        <v>2.9268389662027836</v>
      </c>
      <c r="L399" s="6" t="s">
        <v>986</v>
      </c>
      <c r="M399" s="8">
        <f t="shared" si="12"/>
        <v>3.065029578836814</v>
      </c>
      <c r="N399" s="1">
        <f t="shared" si="13"/>
        <v>0.1954310385796923</v>
      </c>
    </row>
    <row r="400" spans="1:14" x14ac:dyDescent="0.25">
      <c r="A400" s="2" t="s">
        <v>796</v>
      </c>
      <c r="B400" s="2" t="s">
        <v>797</v>
      </c>
      <c r="C400" s="4">
        <v>27</v>
      </c>
      <c r="D400" s="5">
        <v>0</v>
      </c>
      <c r="E400" s="5">
        <v>896240.890625</v>
      </c>
      <c r="F400" s="5">
        <v>0</v>
      </c>
      <c r="G400" s="3"/>
      <c r="H400" s="3">
        <v>5</v>
      </c>
      <c r="I400" s="3"/>
      <c r="J400" s="6" t="s">
        <v>986</v>
      </c>
      <c r="K400" s="6">
        <v>4.8780649436713057</v>
      </c>
      <c r="L400" s="6" t="s">
        <v>986</v>
      </c>
      <c r="M400" s="8">
        <f t="shared" si="12"/>
        <v>4.8780649436713057</v>
      </c>
      <c r="N400" s="1" t="e">
        <f t="shared" si="13"/>
        <v>#DIV/0!</v>
      </c>
    </row>
    <row r="401" spans="1:14" x14ac:dyDescent="0.25">
      <c r="A401" s="2" t="s">
        <v>798</v>
      </c>
      <c r="B401" s="2" t="s">
        <v>799</v>
      </c>
      <c r="C401" s="4">
        <v>28</v>
      </c>
      <c r="D401" s="5">
        <v>15245301.4375</v>
      </c>
      <c r="E401" s="5">
        <v>15618791.5</v>
      </c>
      <c r="F401" s="5">
        <v>110840053.375</v>
      </c>
      <c r="G401" s="3">
        <v>29</v>
      </c>
      <c r="H401" s="3">
        <v>31</v>
      </c>
      <c r="I401" s="3">
        <v>35</v>
      </c>
      <c r="J401" s="6">
        <v>30.964461850884827</v>
      </c>
      <c r="K401" s="6">
        <v>30.244002650762091</v>
      </c>
      <c r="L401" s="6">
        <v>33.704212454212453</v>
      </c>
      <c r="M401" s="8">
        <f t="shared" si="12"/>
        <v>31.637558985286457</v>
      </c>
      <c r="N401" s="1">
        <f t="shared" si="13"/>
        <v>1.8256663948345713</v>
      </c>
    </row>
    <row r="402" spans="1:14" x14ac:dyDescent="0.25">
      <c r="A402" s="2" t="s">
        <v>800</v>
      </c>
      <c r="B402" s="2" t="s">
        <v>801</v>
      </c>
      <c r="C402" s="4">
        <v>66.099999999999994</v>
      </c>
      <c r="D402" s="5">
        <v>1605762.9375</v>
      </c>
      <c r="E402" s="5">
        <v>1954808.3125</v>
      </c>
      <c r="F402" s="5">
        <v>1647461.078125</v>
      </c>
      <c r="G402" s="3">
        <v>44</v>
      </c>
      <c r="H402" s="3">
        <v>41</v>
      </c>
      <c r="I402" s="3">
        <v>43</v>
      </c>
      <c r="J402" s="6">
        <v>46.98056280823905</v>
      </c>
      <c r="K402" s="6">
        <v>40.000132538104708</v>
      </c>
      <c r="L402" s="6">
        <v>41.408032443746727</v>
      </c>
      <c r="M402" s="8">
        <f t="shared" si="12"/>
        <v>42.796242596696828</v>
      </c>
      <c r="N402" s="1">
        <f t="shared" si="13"/>
        <v>3.6914695258957857</v>
      </c>
    </row>
    <row r="403" spans="1:14" x14ac:dyDescent="0.25">
      <c r="A403" s="2" t="s">
        <v>802</v>
      </c>
      <c r="B403" s="2" t="s">
        <v>803</v>
      </c>
      <c r="C403" s="4">
        <v>93.1</v>
      </c>
      <c r="D403" s="5">
        <v>4327660.578125</v>
      </c>
      <c r="E403" s="5">
        <v>4004786.8828125</v>
      </c>
      <c r="F403" s="5">
        <v>5296030.4296875</v>
      </c>
      <c r="G403" s="3">
        <v>28</v>
      </c>
      <c r="H403" s="3">
        <v>35</v>
      </c>
      <c r="I403" s="3">
        <v>32</v>
      </c>
      <c r="J403" s="6">
        <v>29.896721787061214</v>
      </c>
      <c r="K403" s="6">
        <v>34.146454605699141</v>
      </c>
      <c r="L403" s="6">
        <v>30.815279958137104</v>
      </c>
      <c r="M403" s="8">
        <f t="shared" si="12"/>
        <v>31.619485450299152</v>
      </c>
      <c r="N403" s="1">
        <f t="shared" si="13"/>
        <v>2.2360941645355115</v>
      </c>
    </row>
    <row r="404" spans="1:14" x14ac:dyDescent="0.25">
      <c r="A404" s="2" t="s">
        <v>804</v>
      </c>
      <c r="B404" s="2" t="s">
        <v>805</v>
      </c>
      <c r="C404" s="4">
        <v>30.3</v>
      </c>
      <c r="D404" s="5">
        <v>1707497.625</v>
      </c>
      <c r="E404" s="5">
        <v>755404.125</v>
      </c>
      <c r="F404" s="5">
        <v>0</v>
      </c>
      <c r="G404" s="3">
        <v>16</v>
      </c>
      <c r="H404" s="3">
        <v>13</v>
      </c>
      <c r="I404" s="3"/>
      <c r="J404" s="6">
        <v>17.083841021177836</v>
      </c>
      <c r="K404" s="6">
        <v>12.682968853545393</v>
      </c>
      <c r="L404" s="6" t="s">
        <v>986</v>
      </c>
      <c r="M404" s="8">
        <f t="shared" si="12"/>
        <v>14.883404937361615</v>
      </c>
      <c r="N404" s="1">
        <f t="shared" si="13"/>
        <v>3.1118865528680391</v>
      </c>
    </row>
    <row r="405" spans="1:14" x14ac:dyDescent="0.25">
      <c r="A405" s="2" t="s">
        <v>806</v>
      </c>
      <c r="B405" s="2" t="s">
        <v>807</v>
      </c>
      <c r="C405" s="4">
        <v>106.2</v>
      </c>
      <c r="D405" s="5">
        <v>1251100.65234375</v>
      </c>
      <c r="E405" s="5">
        <v>1645730.8691406299</v>
      </c>
      <c r="F405" s="5">
        <v>1301492.0390625</v>
      </c>
      <c r="G405" s="3">
        <v>12</v>
      </c>
      <c r="H405" s="3">
        <v>11</v>
      </c>
      <c r="I405" s="3">
        <v>9</v>
      </c>
      <c r="J405" s="6">
        <v>12.812880765883376</v>
      </c>
      <c r="K405" s="6">
        <v>10.731742876076872</v>
      </c>
      <c r="L405" s="6">
        <v>8.6667974882260594</v>
      </c>
      <c r="M405" s="8">
        <f t="shared" si="12"/>
        <v>10.737140376728769</v>
      </c>
      <c r="N405" s="1">
        <f t="shared" si="13"/>
        <v>2.0730469087980987</v>
      </c>
    </row>
    <row r="406" spans="1:14" x14ac:dyDescent="0.25">
      <c r="A406" s="2" t="s">
        <v>808</v>
      </c>
      <c r="B406" s="2" t="s">
        <v>809</v>
      </c>
      <c r="C406" s="4">
        <v>48.7</v>
      </c>
      <c r="D406" s="5">
        <v>1204078</v>
      </c>
      <c r="E406" s="5">
        <v>1433046.375</v>
      </c>
      <c r="F406" s="5">
        <v>0</v>
      </c>
      <c r="G406" s="3">
        <v>16</v>
      </c>
      <c r="H406" s="3">
        <v>15</v>
      </c>
      <c r="I406" s="3"/>
      <c r="J406" s="6">
        <v>17.083841021177836</v>
      </c>
      <c r="K406" s="6">
        <v>14.634194831013914</v>
      </c>
      <c r="L406" s="6" t="s">
        <v>986</v>
      </c>
      <c r="M406" s="8">
        <f t="shared" si="12"/>
        <v>15.859017926095875</v>
      </c>
      <c r="N406" s="1">
        <f t="shared" si="13"/>
        <v>1.7321614325726997</v>
      </c>
    </row>
    <row r="407" spans="1:14" x14ac:dyDescent="0.25">
      <c r="A407" s="2" t="s">
        <v>810</v>
      </c>
      <c r="B407" s="2" t="s">
        <v>811</v>
      </c>
      <c r="C407" s="4">
        <v>61.2</v>
      </c>
      <c r="D407" s="5">
        <v>4089401.51953125</v>
      </c>
      <c r="E407" s="5">
        <v>2508413.84375</v>
      </c>
      <c r="F407" s="5">
        <v>3219483.1796875</v>
      </c>
      <c r="G407" s="3">
        <v>10</v>
      </c>
      <c r="H407" s="3">
        <v>9</v>
      </c>
      <c r="I407" s="3">
        <v>10</v>
      </c>
      <c r="J407" s="6">
        <v>10.677400638236147</v>
      </c>
      <c r="K407" s="6">
        <v>8.7805168986083508</v>
      </c>
      <c r="L407" s="6">
        <v>9.6297749869178446</v>
      </c>
      <c r="M407" s="8">
        <f t="shared" si="12"/>
        <v>9.6958975079207814</v>
      </c>
      <c r="N407" s="1">
        <f t="shared" si="13"/>
        <v>0.95016899615485306</v>
      </c>
    </row>
    <row r="408" spans="1:14" x14ac:dyDescent="0.25">
      <c r="A408" s="2" t="s">
        <v>812</v>
      </c>
      <c r="B408" s="2" t="s">
        <v>813</v>
      </c>
      <c r="C408" s="4">
        <v>79.5</v>
      </c>
      <c r="D408" s="5">
        <v>0</v>
      </c>
      <c r="E408" s="5">
        <v>662688.734375</v>
      </c>
      <c r="F408" s="5">
        <v>1258349.6875</v>
      </c>
      <c r="G408" s="3"/>
      <c r="H408" s="3">
        <v>5</v>
      </c>
      <c r="I408" s="3">
        <v>6</v>
      </c>
      <c r="J408" s="6" t="s">
        <v>986</v>
      </c>
      <c r="K408" s="6">
        <v>4.8780649436713057</v>
      </c>
      <c r="L408" s="6">
        <v>5.7778649921507066</v>
      </c>
      <c r="M408" s="8">
        <f t="shared" si="12"/>
        <v>5.3279649679110062</v>
      </c>
      <c r="N408" s="1">
        <f t="shared" si="13"/>
        <v>0.63625471599176853</v>
      </c>
    </row>
    <row r="409" spans="1:14" x14ac:dyDescent="0.25">
      <c r="A409" s="2" t="s">
        <v>814</v>
      </c>
      <c r="B409" s="2" t="s">
        <v>815</v>
      </c>
      <c r="C409" s="4">
        <v>94.6</v>
      </c>
      <c r="D409" s="5">
        <v>521793</v>
      </c>
      <c r="E409" s="5">
        <v>171100.15625</v>
      </c>
      <c r="F409" s="5">
        <v>0</v>
      </c>
      <c r="G409" s="3">
        <v>2</v>
      </c>
      <c r="H409" s="3">
        <v>4</v>
      </c>
      <c r="I409" s="3"/>
      <c r="J409" s="6">
        <v>2.1354801276472295</v>
      </c>
      <c r="K409" s="6">
        <v>3.9024519549370442</v>
      </c>
      <c r="L409" s="6" t="s">
        <v>986</v>
      </c>
      <c r="M409" s="8">
        <f t="shared" si="12"/>
        <v>3.0189660412921366</v>
      </c>
      <c r="N409" s="1">
        <f t="shared" si="13"/>
        <v>1.2494377612422138</v>
      </c>
    </row>
    <row r="410" spans="1:14" x14ac:dyDescent="0.25">
      <c r="A410" s="2" t="s">
        <v>816</v>
      </c>
      <c r="B410" s="2" t="s">
        <v>817</v>
      </c>
      <c r="C410" s="4">
        <v>21.6</v>
      </c>
      <c r="D410" s="5">
        <v>1350161.9375</v>
      </c>
      <c r="E410" s="5">
        <v>1156129.9375</v>
      </c>
      <c r="F410" s="5">
        <v>1286857.875</v>
      </c>
      <c r="G410" s="3">
        <v>29</v>
      </c>
      <c r="H410" s="3">
        <v>12</v>
      </c>
      <c r="I410" s="3">
        <v>13</v>
      </c>
      <c r="J410" s="6">
        <v>30.964461850884827</v>
      </c>
      <c r="K410" s="6">
        <v>11.707355864811134</v>
      </c>
      <c r="L410" s="6">
        <v>12.518707482993197</v>
      </c>
      <c r="M410" s="8">
        <f t="shared" si="12"/>
        <v>18.396841732896387</v>
      </c>
      <c r="N410" s="1">
        <f t="shared" si="13"/>
        <v>10.891436059337289</v>
      </c>
    </row>
    <row r="411" spans="1:14" x14ac:dyDescent="0.25">
      <c r="A411" s="2" t="s">
        <v>818</v>
      </c>
      <c r="B411" s="2" t="s">
        <v>819</v>
      </c>
      <c r="C411" s="4">
        <v>37.799999999999997</v>
      </c>
      <c r="D411" s="5">
        <v>968434.890625</v>
      </c>
      <c r="E411" s="5">
        <v>644748.125</v>
      </c>
      <c r="F411" s="5">
        <v>1221364.0625</v>
      </c>
      <c r="G411" s="3">
        <v>5</v>
      </c>
      <c r="H411" s="3">
        <v>5</v>
      </c>
      <c r="I411" s="3">
        <v>5</v>
      </c>
      <c r="J411" s="6">
        <v>5.3387003191180735</v>
      </c>
      <c r="K411" s="6">
        <v>4.8780649436713057</v>
      </c>
      <c r="L411" s="6">
        <v>4.8148874934589223</v>
      </c>
      <c r="M411" s="8">
        <f t="shared" si="12"/>
        <v>5.0105509187494341</v>
      </c>
      <c r="N411" s="1">
        <f t="shared" si="13"/>
        <v>0.28593595310061631</v>
      </c>
    </row>
    <row r="412" spans="1:14" x14ac:dyDescent="0.25">
      <c r="A412" s="2" t="s">
        <v>820</v>
      </c>
      <c r="B412" s="2" t="s">
        <v>821</v>
      </c>
      <c r="C412" s="4">
        <v>26.6</v>
      </c>
      <c r="D412" s="5">
        <v>0</v>
      </c>
      <c r="E412" s="5">
        <v>912328.875</v>
      </c>
      <c r="F412" s="5">
        <v>0</v>
      </c>
      <c r="G412" s="3"/>
      <c r="H412" s="3">
        <v>3</v>
      </c>
      <c r="I412" s="3"/>
      <c r="J412" s="6" t="s">
        <v>986</v>
      </c>
      <c r="K412" s="6">
        <v>2.9268389662027836</v>
      </c>
      <c r="L412" s="6" t="s">
        <v>986</v>
      </c>
      <c r="M412" s="8">
        <f t="shared" si="12"/>
        <v>2.9268389662027836</v>
      </c>
      <c r="N412" s="1" t="e">
        <f t="shared" si="13"/>
        <v>#DIV/0!</v>
      </c>
    </row>
    <row r="413" spans="1:14" x14ac:dyDescent="0.25">
      <c r="A413" s="2" t="s">
        <v>822</v>
      </c>
      <c r="B413" s="2" t="s">
        <v>823</v>
      </c>
      <c r="C413" s="4">
        <v>31.9</v>
      </c>
      <c r="D413" s="5">
        <v>422066.71875</v>
      </c>
      <c r="E413" s="5">
        <v>422653.1875</v>
      </c>
      <c r="F413" s="5">
        <v>376706.15625</v>
      </c>
      <c r="G413" s="3">
        <v>6</v>
      </c>
      <c r="H413" s="3">
        <v>4</v>
      </c>
      <c r="I413" s="3">
        <v>4</v>
      </c>
      <c r="J413" s="6">
        <v>6.406440382941688</v>
      </c>
      <c r="K413" s="6">
        <v>3.9024519549370442</v>
      </c>
      <c r="L413" s="6">
        <v>3.851909994767138</v>
      </c>
      <c r="M413" s="8">
        <f t="shared" si="12"/>
        <v>4.7202674442152892</v>
      </c>
      <c r="N413" s="1">
        <f t="shared" si="13"/>
        <v>1.4604872498260209</v>
      </c>
    </row>
    <row r="414" spans="1:14" x14ac:dyDescent="0.25">
      <c r="A414" s="2" t="s">
        <v>824</v>
      </c>
      <c r="B414" s="2" t="s">
        <v>825</v>
      </c>
      <c r="C414" s="4">
        <v>64.900000000000006</v>
      </c>
      <c r="D414" s="5">
        <v>2184321.28125</v>
      </c>
      <c r="E414" s="5">
        <v>1398212.25</v>
      </c>
      <c r="F414" s="5">
        <v>3032158.59375</v>
      </c>
      <c r="G414" s="3">
        <v>23</v>
      </c>
      <c r="H414" s="3">
        <v>22</v>
      </c>
      <c r="I414" s="3">
        <v>25</v>
      </c>
      <c r="J414" s="6">
        <v>24.558021467943139</v>
      </c>
      <c r="K414" s="6">
        <v>21.463485752153744</v>
      </c>
      <c r="L414" s="6">
        <v>24.074437467294612</v>
      </c>
      <c r="M414" s="8">
        <f t="shared" si="12"/>
        <v>23.365314895797166</v>
      </c>
      <c r="N414" s="1">
        <f t="shared" si="13"/>
        <v>1.6646858382678122</v>
      </c>
    </row>
    <row r="415" spans="1:14" x14ac:dyDescent="0.25">
      <c r="A415" s="2" t="s">
        <v>826</v>
      </c>
      <c r="B415" s="2" t="s">
        <v>827</v>
      </c>
      <c r="C415" s="4">
        <v>45.6</v>
      </c>
      <c r="D415" s="5">
        <v>1402925.25</v>
      </c>
      <c r="E415" s="5">
        <v>763028.625</v>
      </c>
      <c r="F415" s="5">
        <v>825299.125</v>
      </c>
      <c r="G415" s="3">
        <v>9</v>
      </c>
      <c r="H415" s="3">
        <v>9</v>
      </c>
      <c r="I415" s="3">
        <v>11</v>
      </c>
      <c r="J415" s="6">
        <v>9.6096605744125334</v>
      </c>
      <c r="K415" s="6">
        <v>8.7805168986083508</v>
      </c>
      <c r="L415" s="6">
        <v>10.592752485609628</v>
      </c>
      <c r="M415" s="8">
        <f t="shared" si="12"/>
        <v>9.6609766528768386</v>
      </c>
      <c r="N415" s="1">
        <f t="shared" si="13"/>
        <v>0.90720695578802846</v>
      </c>
    </row>
    <row r="416" spans="1:14" x14ac:dyDescent="0.25">
      <c r="A416" s="2" t="s">
        <v>828</v>
      </c>
      <c r="B416" s="2" t="s">
        <v>829</v>
      </c>
      <c r="C416" s="4">
        <v>96.3</v>
      </c>
      <c r="D416" s="5">
        <v>45932.44140625</v>
      </c>
      <c r="E416" s="5">
        <v>108273.28125</v>
      </c>
      <c r="F416" s="5">
        <v>0</v>
      </c>
      <c r="G416" s="3">
        <v>11</v>
      </c>
      <c r="H416" s="3">
        <v>10</v>
      </c>
      <c r="I416" s="3"/>
      <c r="J416" s="6">
        <v>11.745140702059762</v>
      </c>
      <c r="K416" s="6">
        <v>9.7561298873426114</v>
      </c>
      <c r="L416" s="6" t="s">
        <v>986</v>
      </c>
      <c r="M416" s="8">
        <f t="shared" si="12"/>
        <v>10.750635294701187</v>
      </c>
      <c r="N416" s="1">
        <f t="shared" si="13"/>
        <v>1.4064430349398771</v>
      </c>
    </row>
    <row r="417" spans="1:14" x14ac:dyDescent="0.25">
      <c r="A417" s="2" t="s">
        <v>830</v>
      </c>
      <c r="B417" s="2" t="s">
        <v>831</v>
      </c>
      <c r="C417" s="4">
        <v>37.6</v>
      </c>
      <c r="D417" s="5">
        <v>1353351.78125</v>
      </c>
      <c r="E417" s="5">
        <v>1968229.5625</v>
      </c>
      <c r="F417" s="5">
        <v>2804859.5</v>
      </c>
      <c r="G417" s="3">
        <v>7</v>
      </c>
      <c r="H417" s="3">
        <v>7</v>
      </c>
      <c r="I417" s="3">
        <v>8</v>
      </c>
      <c r="J417" s="6">
        <v>7.4741804467653035</v>
      </c>
      <c r="K417" s="6">
        <v>6.8292909211398278</v>
      </c>
      <c r="L417" s="6">
        <v>7.703819989534276</v>
      </c>
      <c r="M417" s="8">
        <f t="shared" si="12"/>
        <v>7.3357637858131355</v>
      </c>
      <c r="N417" s="1">
        <f t="shared" si="13"/>
        <v>0.45339789576990303</v>
      </c>
    </row>
    <row r="418" spans="1:14" x14ac:dyDescent="0.25">
      <c r="A418" s="2" t="s">
        <v>832</v>
      </c>
      <c r="B418" s="2" t="s">
        <v>833</v>
      </c>
      <c r="C418" s="4">
        <v>59.6</v>
      </c>
      <c r="D418" s="5">
        <v>13434830.671875</v>
      </c>
      <c r="E418" s="5">
        <v>10867429.03125</v>
      </c>
      <c r="F418" s="5">
        <v>13010738.625</v>
      </c>
      <c r="G418" s="3">
        <v>53</v>
      </c>
      <c r="H418" s="3">
        <v>48</v>
      </c>
      <c r="I418" s="3">
        <v>48</v>
      </c>
      <c r="J418" s="6">
        <v>56.590223382651587</v>
      </c>
      <c r="K418" s="6">
        <v>46.829423459244538</v>
      </c>
      <c r="L418" s="6">
        <v>46.222919937205653</v>
      </c>
      <c r="M418" s="8">
        <f t="shared" si="12"/>
        <v>49.880855593033921</v>
      </c>
      <c r="N418" s="1">
        <f t="shared" si="13"/>
        <v>5.818390991745968</v>
      </c>
    </row>
    <row r="419" spans="1:14" x14ac:dyDescent="0.25">
      <c r="A419" s="2" t="s">
        <v>834</v>
      </c>
      <c r="B419" s="2" t="s">
        <v>835</v>
      </c>
      <c r="C419" s="4">
        <v>43</v>
      </c>
      <c r="D419" s="5">
        <v>564071.96875</v>
      </c>
      <c r="E419" s="5">
        <v>716521.5234375</v>
      </c>
      <c r="F419" s="5">
        <v>810984.3125</v>
      </c>
      <c r="G419" s="3">
        <v>3</v>
      </c>
      <c r="H419" s="3">
        <v>5</v>
      </c>
      <c r="I419" s="3">
        <v>4</v>
      </c>
      <c r="J419" s="6">
        <v>3.203220191470844</v>
      </c>
      <c r="K419" s="6">
        <v>4.8780649436713057</v>
      </c>
      <c r="L419" s="6">
        <v>3.851909994767138</v>
      </c>
      <c r="M419" s="8">
        <f t="shared" si="12"/>
        <v>3.977731709969762</v>
      </c>
      <c r="N419" s="1">
        <f t="shared" si="13"/>
        <v>0.84448183166114399</v>
      </c>
    </row>
    <row r="420" spans="1:14" x14ac:dyDescent="0.25">
      <c r="A420" s="2" t="s">
        <v>836</v>
      </c>
      <c r="B420" s="2" t="s">
        <v>837</v>
      </c>
      <c r="C420" s="4">
        <v>34.9</v>
      </c>
      <c r="D420" s="5">
        <v>1517815.15625</v>
      </c>
      <c r="E420" s="5">
        <v>2563455.6875</v>
      </c>
      <c r="F420" s="5">
        <v>0</v>
      </c>
      <c r="G420" s="3">
        <v>3</v>
      </c>
      <c r="H420" s="3">
        <v>4</v>
      </c>
      <c r="I420" s="3"/>
      <c r="J420" s="6">
        <v>3.203220191470844</v>
      </c>
      <c r="K420" s="6">
        <v>3.9024519549370442</v>
      </c>
      <c r="L420" s="6" t="s">
        <v>986</v>
      </c>
      <c r="M420" s="8">
        <f t="shared" si="12"/>
        <v>3.5528360732039443</v>
      </c>
      <c r="N420" s="1">
        <f t="shared" si="13"/>
        <v>0.49443152156797815</v>
      </c>
    </row>
    <row r="421" spans="1:14" x14ac:dyDescent="0.25">
      <c r="A421" s="2" t="s">
        <v>838</v>
      </c>
      <c r="B421" s="2" t="s">
        <v>839</v>
      </c>
      <c r="C421" s="4">
        <v>46.6</v>
      </c>
      <c r="D421" s="5">
        <v>0</v>
      </c>
      <c r="E421" s="5">
        <v>1706686.3125</v>
      </c>
      <c r="F421" s="5">
        <v>0</v>
      </c>
      <c r="G421" s="3"/>
      <c r="H421" s="3">
        <v>2</v>
      </c>
      <c r="I421" s="3"/>
      <c r="J421" s="6" t="s">
        <v>986</v>
      </c>
      <c r="K421" s="6">
        <v>1.9512259774685221</v>
      </c>
      <c r="L421" s="6" t="s">
        <v>986</v>
      </c>
      <c r="M421" s="8">
        <f t="shared" si="12"/>
        <v>1.9512259774685221</v>
      </c>
      <c r="N421" s="1" t="e">
        <f t="shared" si="13"/>
        <v>#DIV/0!</v>
      </c>
    </row>
    <row r="422" spans="1:14" x14ac:dyDescent="0.25">
      <c r="A422" s="2" t="s">
        <v>840</v>
      </c>
      <c r="B422" s="2" t="s">
        <v>841</v>
      </c>
      <c r="C422" s="4">
        <v>29.8</v>
      </c>
      <c r="D422" s="5">
        <v>1013611.125</v>
      </c>
      <c r="E422" s="5">
        <v>676707.5</v>
      </c>
      <c r="F422" s="5">
        <v>793702.0625</v>
      </c>
      <c r="G422" s="3">
        <v>40</v>
      </c>
      <c r="H422" s="3">
        <v>43</v>
      </c>
      <c r="I422" s="3">
        <v>40</v>
      </c>
      <c r="J422" s="6">
        <v>42.709602552944588</v>
      </c>
      <c r="K422" s="6">
        <v>41.951358515573233</v>
      </c>
      <c r="L422" s="6">
        <v>38.519099947671378</v>
      </c>
      <c r="M422" s="8">
        <f t="shared" si="12"/>
        <v>41.060020338729736</v>
      </c>
      <c r="N422" s="1">
        <f t="shared" si="13"/>
        <v>2.2329220385683892</v>
      </c>
    </row>
    <row r="423" spans="1:14" x14ac:dyDescent="0.25">
      <c r="A423" s="2" t="s">
        <v>842</v>
      </c>
      <c r="B423" s="2" t="s">
        <v>843</v>
      </c>
      <c r="C423" s="4">
        <v>29.8</v>
      </c>
      <c r="D423" s="5">
        <v>1261617.53125</v>
      </c>
      <c r="E423" s="5">
        <v>1577456.0625</v>
      </c>
      <c r="F423" s="5">
        <v>1277146.4375</v>
      </c>
      <c r="G423" s="3">
        <v>5</v>
      </c>
      <c r="H423" s="3">
        <v>6</v>
      </c>
      <c r="I423" s="3">
        <v>6</v>
      </c>
      <c r="J423" s="6">
        <v>5.3387003191180735</v>
      </c>
      <c r="K423" s="6">
        <v>5.8536779324055672</v>
      </c>
      <c r="L423" s="6">
        <v>5.7778649921507066</v>
      </c>
      <c r="M423" s="8">
        <f t="shared" si="12"/>
        <v>5.6567477478914485</v>
      </c>
      <c r="N423" s="1">
        <f t="shared" si="13"/>
        <v>0.27803331758898669</v>
      </c>
    </row>
    <row r="424" spans="1:14" x14ac:dyDescent="0.25">
      <c r="A424" s="2" t="s">
        <v>844</v>
      </c>
      <c r="B424" s="2" t="s">
        <v>845</v>
      </c>
      <c r="C424" s="4">
        <v>68</v>
      </c>
      <c r="D424" s="5">
        <v>0</v>
      </c>
      <c r="E424" s="5">
        <v>0</v>
      </c>
      <c r="F424" s="5">
        <v>0</v>
      </c>
      <c r="G424" s="3">
        <v>16</v>
      </c>
      <c r="H424" s="3">
        <v>17</v>
      </c>
      <c r="I424" s="3">
        <v>18</v>
      </c>
      <c r="J424" s="6">
        <v>17.083841021177836</v>
      </c>
      <c r="K424" s="6">
        <v>16.585420808482439</v>
      </c>
      <c r="L424" s="6">
        <v>17.333594976452119</v>
      </c>
      <c r="M424" s="8">
        <f t="shared" si="12"/>
        <v>17.000952268704129</v>
      </c>
      <c r="N424" s="1">
        <f t="shared" si="13"/>
        <v>0.38091213602255558</v>
      </c>
    </row>
    <row r="425" spans="1:14" x14ac:dyDescent="0.25">
      <c r="A425" s="2" t="s">
        <v>846</v>
      </c>
      <c r="B425" s="2" t="s">
        <v>847</v>
      </c>
      <c r="C425" s="4">
        <v>29.2</v>
      </c>
      <c r="D425" s="5">
        <v>327391.53125</v>
      </c>
      <c r="E425" s="5">
        <v>407476.09375</v>
      </c>
      <c r="F425" s="5">
        <v>442469.34375</v>
      </c>
      <c r="G425" s="3">
        <v>9</v>
      </c>
      <c r="H425" s="3">
        <v>10</v>
      </c>
      <c r="I425" s="3">
        <v>9</v>
      </c>
      <c r="J425" s="6">
        <v>9.6096605744125334</v>
      </c>
      <c r="K425" s="6">
        <v>9.7561298873426114</v>
      </c>
      <c r="L425" s="6">
        <v>8.6667974882260594</v>
      </c>
      <c r="M425" s="8">
        <f t="shared" si="12"/>
        <v>9.3441959833270687</v>
      </c>
      <c r="N425" s="1">
        <f t="shared" si="13"/>
        <v>0.59119781442541353</v>
      </c>
    </row>
    <row r="426" spans="1:14" x14ac:dyDescent="0.25">
      <c r="A426" s="2" t="s">
        <v>848</v>
      </c>
      <c r="B426" s="2" t="s">
        <v>849</v>
      </c>
      <c r="C426" s="4">
        <v>17.8</v>
      </c>
      <c r="D426" s="5">
        <v>2516409.25</v>
      </c>
      <c r="E426" s="5">
        <v>3764911.625</v>
      </c>
      <c r="F426" s="5">
        <v>4194032.5</v>
      </c>
      <c r="G426" s="3">
        <v>4</v>
      </c>
      <c r="H426" s="3">
        <v>5</v>
      </c>
      <c r="I426" s="3">
        <v>5</v>
      </c>
      <c r="J426" s="6">
        <v>4.270960255294459</v>
      </c>
      <c r="K426" s="6">
        <v>4.8780649436713057</v>
      </c>
      <c r="L426" s="6">
        <v>4.8148874934589223</v>
      </c>
      <c r="M426" s="8">
        <f t="shared" si="12"/>
        <v>4.654637564141562</v>
      </c>
      <c r="N426" s="1">
        <f t="shared" si="13"/>
        <v>0.3337724607377775</v>
      </c>
    </row>
    <row r="427" spans="1:14" x14ac:dyDescent="0.25">
      <c r="A427" s="2" t="s">
        <v>850</v>
      </c>
      <c r="B427" s="2" t="s">
        <v>851</v>
      </c>
      <c r="C427" s="4">
        <v>28.8</v>
      </c>
      <c r="D427" s="5">
        <v>204009.484375</v>
      </c>
      <c r="E427" s="5">
        <v>275980.09375</v>
      </c>
      <c r="F427" s="5">
        <v>396710.96875</v>
      </c>
      <c r="G427" s="3">
        <v>8</v>
      </c>
      <c r="H427" s="3">
        <v>9</v>
      </c>
      <c r="I427" s="3">
        <v>9</v>
      </c>
      <c r="J427" s="6">
        <v>8.541920510588918</v>
      </c>
      <c r="K427" s="6">
        <v>8.7805168986083508</v>
      </c>
      <c r="L427" s="6">
        <v>8.6667974882260594</v>
      </c>
      <c r="M427" s="8">
        <f t="shared" si="12"/>
        <v>8.6630782991411106</v>
      </c>
      <c r="N427" s="1">
        <f t="shared" si="13"/>
        <v>0.11934166652752569</v>
      </c>
    </row>
    <row r="428" spans="1:14" x14ac:dyDescent="0.25">
      <c r="A428" s="2" t="s">
        <v>852</v>
      </c>
      <c r="B428" s="2" t="s">
        <v>853</v>
      </c>
      <c r="C428" s="4">
        <v>15.8</v>
      </c>
      <c r="D428" s="5">
        <v>4148154.5</v>
      </c>
      <c r="E428" s="5">
        <v>3808031.1875</v>
      </c>
      <c r="F428" s="5">
        <v>3422701.875</v>
      </c>
      <c r="G428" s="3">
        <v>23</v>
      </c>
      <c r="H428" s="3">
        <v>18</v>
      </c>
      <c r="I428" s="3">
        <v>16</v>
      </c>
      <c r="J428" s="6">
        <v>24.558021467943139</v>
      </c>
      <c r="K428" s="6">
        <v>17.561033797216702</v>
      </c>
      <c r="L428" s="6">
        <v>15.407639979068552</v>
      </c>
      <c r="M428" s="8">
        <f t="shared" si="12"/>
        <v>19.175565081409463</v>
      </c>
      <c r="N428" s="1">
        <f t="shared" si="13"/>
        <v>4.7840781555815441</v>
      </c>
    </row>
    <row r="429" spans="1:14" x14ac:dyDescent="0.25">
      <c r="A429" s="2" t="s">
        <v>854</v>
      </c>
      <c r="B429" s="2" t="s">
        <v>855</v>
      </c>
      <c r="C429" s="4">
        <v>67.5</v>
      </c>
      <c r="D429" s="5">
        <v>25230464.0625</v>
      </c>
      <c r="E429" s="5">
        <v>22467612.25</v>
      </c>
      <c r="F429" s="5">
        <v>29799218.96875</v>
      </c>
      <c r="G429" s="3">
        <v>31</v>
      </c>
      <c r="H429" s="3">
        <v>28</v>
      </c>
      <c r="I429" s="3">
        <v>29</v>
      </c>
      <c r="J429" s="6">
        <v>33.099941978532058</v>
      </c>
      <c r="K429" s="6">
        <v>27.317163684559311</v>
      </c>
      <c r="L429" s="6">
        <v>27.926347462061745</v>
      </c>
      <c r="M429" s="8">
        <f t="shared" si="12"/>
        <v>29.447817708384374</v>
      </c>
      <c r="N429" s="1">
        <f t="shared" si="13"/>
        <v>3.1774651818933224</v>
      </c>
    </row>
    <row r="430" spans="1:14" x14ac:dyDescent="0.25">
      <c r="A430" s="2" t="s">
        <v>856</v>
      </c>
      <c r="B430" s="2" t="s">
        <v>857</v>
      </c>
      <c r="C430" s="4">
        <v>17.8</v>
      </c>
      <c r="D430" s="5">
        <v>17229428.25</v>
      </c>
      <c r="E430" s="5">
        <v>8780591</v>
      </c>
      <c r="F430" s="5">
        <v>14174808.625</v>
      </c>
      <c r="G430" s="3">
        <v>20</v>
      </c>
      <c r="H430" s="3">
        <v>18</v>
      </c>
      <c r="I430" s="3">
        <v>21</v>
      </c>
      <c r="J430" s="6">
        <v>21.354801276472294</v>
      </c>
      <c r="K430" s="6">
        <v>17.561033797216702</v>
      </c>
      <c r="L430" s="6">
        <v>20.222527472527474</v>
      </c>
      <c r="M430" s="8">
        <f t="shared" si="12"/>
        <v>19.712787515405491</v>
      </c>
      <c r="N430" s="1">
        <f t="shared" si="13"/>
        <v>1.9475738855251101</v>
      </c>
    </row>
    <row r="431" spans="1:14" x14ac:dyDescent="0.25">
      <c r="A431" s="2" t="s">
        <v>858</v>
      </c>
      <c r="B431" s="2" t="s">
        <v>859</v>
      </c>
      <c r="C431" s="4">
        <v>92.5</v>
      </c>
      <c r="D431" s="5">
        <v>1905052.1875</v>
      </c>
      <c r="E431" s="5">
        <v>2282913.9375</v>
      </c>
      <c r="F431" s="5">
        <v>1161795.40625</v>
      </c>
      <c r="G431" s="3">
        <v>27</v>
      </c>
      <c r="H431" s="3">
        <v>33</v>
      </c>
      <c r="I431" s="3">
        <v>29</v>
      </c>
      <c r="J431" s="6">
        <v>28.828981723237597</v>
      </c>
      <c r="K431" s="6">
        <v>32.195228628230616</v>
      </c>
      <c r="L431" s="6">
        <v>27.926347462061745</v>
      </c>
      <c r="M431" s="8">
        <f t="shared" si="12"/>
        <v>29.650185937843318</v>
      </c>
      <c r="N431" s="1">
        <f t="shared" si="13"/>
        <v>2.2498041857642805</v>
      </c>
    </row>
    <row r="432" spans="1:14" x14ac:dyDescent="0.25">
      <c r="A432" s="2" t="s">
        <v>860</v>
      </c>
      <c r="B432" s="2" t="s">
        <v>861</v>
      </c>
      <c r="C432" s="4">
        <v>15.8</v>
      </c>
      <c r="D432" s="5">
        <v>0</v>
      </c>
      <c r="E432" s="5">
        <v>10457926.0625</v>
      </c>
      <c r="F432" s="5">
        <v>13819444.25</v>
      </c>
      <c r="G432" s="3"/>
      <c r="H432" s="3">
        <v>42</v>
      </c>
      <c r="I432" s="3">
        <v>20</v>
      </c>
      <c r="J432" s="6" t="s">
        <v>986</v>
      </c>
      <c r="K432" s="6">
        <v>40.975745526838971</v>
      </c>
      <c r="L432" s="6">
        <v>19.259549973835689</v>
      </c>
      <c r="M432" s="8">
        <f t="shared" si="12"/>
        <v>30.11764775033733</v>
      </c>
      <c r="N432" s="1">
        <f t="shared" si="13"/>
        <v>15.355669137101762</v>
      </c>
    </row>
    <row r="433" spans="1:14" x14ac:dyDescent="0.25">
      <c r="A433" s="2" t="s">
        <v>862</v>
      </c>
      <c r="B433" s="2" t="s">
        <v>863</v>
      </c>
      <c r="C433" s="4">
        <v>34</v>
      </c>
      <c r="D433" s="5">
        <v>52716731.8125</v>
      </c>
      <c r="E433" s="5">
        <v>46126525.625</v>
      </c>
      <c r="F433" s="5">
        <v>49354020</v>
      </c>
      <c r="G433" s="3">
        <v>48</v>
      </c>
      <c r="H433" s="3">
        <v>47</v>
      </c>
      <c r="I433" s="3">
        <v>50</v>
      </c>
      <c r="J433" s="6">
        <v>51.251523063533504</v>
      </c>
      <c r="K433" s="6">
        <v>45.853810470510275</v>
      </c>
      <c r="L433" s="6">
        <v>48.148874934589223</v>
      </c>
      <c r="M433" s="8">
        <f t="shared" si="12"/>
        <v>48.418069489544337</v>
      </c>
      <c r="N433" s="1">
        <f t="shared" si="13"/>
        <v>2.7089065304165625</v>
      </c>
    </row>
    <row r="434" spans="1:14" x14ac:dyDescent="0.25">
      <c r="A434" s="2" t="s">
        <v>864</v>
      </c>
      <c r="B434" s="2" t="s">
        <v>865</v>
      </c>
      <c r="C434" s="4">
        <v>23</v>
      </c>
      <c r="D434" s="5">
        <v>22075942.464843798</v>
      </c>
      <c r="E434" s="5">
        <v>28234048.296875</v>
      </c>
      <c r="F434" s="5">
        <v>15778654.46875</v>
      </c>
      <c r="G434" s="3">
        <v>37</v>
      </c>
      <c r="H434" s="3">
        <v>35</v>
      </c>
      <c r="I434" s="3">
        <v>32</v>
      </c>
      <c r="J434" s="6">
        <v>39.506382361473747</v>
      </c>
      <c r="K434" s="6">
        <v>34.146454605699141</v>
      </c>
      <c r="L434" s="6">
        <v>30.815279958137104</v>
      </c>
      <c r="M434" s="8">
        <f t="shared" si="12"/>
        <v>34.82270564177</v>
      </c>
      <c r="N434" s="1">
        <f t="shared" si="13"/>
        <v>4.3848377215309746</v>
      </c>
    </row>
    <row r="435" spans="1:14" x14ac:dyDescent="0.25">
      <c r="A435" s="2" t="s">
        <v>866</v>
      </c>
      <c r="B435" s="2" t="s">
        <v>867</v>
      </c>
      <c r="C435" s="4">
        <v>16.600000000000001</v>
      </c>
      <c r="D435" s="5">
        <v>2624448.0625</v>
      </c>
      <c r="E435" s="5">
        <v>1937365.0625</v>
      </c>
      <c r="F435" s="5">
        <v>2082611.125</v>
      </c>
      <c r="G435" s="3">
        <v>14</v>
      </c>
      <c r="H435" s="3">
        <v>15</v>
      </c>
      <c r="I435" s="3">
        <v>12</v>
      </c>
      <c r="J435" s="6">
        <v>14.948360893530607</v>
      </c>
      <c r="K435" s="6">
        <v>14.634194831013914</v>
      </c>
      <c r="L435" s="6">
        <v>11.555729984301413</v>
      </c>
      <c r="M435" s="8">
        <f t="shared" si="12"/>
        <v>13.712761902948644</v>
      </c>
      <c r="N435" s="1">
        <f t="shared" si="13"/>
        <v>1.8746373255263276</v>
      </c>
    </row>
    <row r="436" spans="1:14" x14ac:dyDescent="0.25">
      <c r="A436" s="2" t="s">
        <v>869</v>
      </c>
      <c r="B436" s="2" t="s">
        <v>870</v>
      </c>
      <c r="C436" s="4">
        <v>99.8</v>
      </c>
      <c r="D436" s="5">
        <v>0</v>
      </c>
      <c r="E436" s="5">
        <v>0</v>
      </c>
      <c r="F436" s="5">
        <v>716173.3125</v>
      </c>
      <c r="G436" s="3"/>
      <c r="H436" s="3"/>
      <c r="I436" s="3">
        <v>3</v>
      </c>
      <c r="J436" s="6" t="s">
        <v>986</v>
      </c>
      <c r="K436" s="6" t="s">
        <v>986</v>
      </c>
      <c r="L436" s="6">
        <v>2.8889324960753533</v>
      </c>
      <c r="M436" s="8">
        <f t="shared" si="12"/>
        <v>2.8889324960753533</v>
      </c>
      <c r="N436" s="1" t="e">
        <f t="shared" si="13"/>
        <v>#DIV/0!</v>
      </c>
    </row>
    <row r="437" spans="1:14" x14ac:dyDescent="0.25">
      <c r="A437" s="2" t="s">
        <v>871</v>
      </c>
      <c r="B437" s="2" t="s">
        <v>872</v>
      </c>
      <c r="C437" s="4">
        <v>27.2</v>
      </c>
      <c r="D437" s="5">
        <v>0</v>
      </c>
      <c r="E437" s="5">
        <v>0</v>
      </c>
      <c r="F437" s="5">
        <v>0</v>
      </c>
      <c r="G437" s="3"/>
      <c r="H437" s="3"/>
      <c r="I437" s="3">
        <v>2</v>
      </c>
      <c r="J437" s="6" t="s">
        <v>986</v>
      </c>
      <c r="K437" s="6" t="s">
        <v>986</v>
      </c>
      <c r="L437" s="6">
        <v>1.925954997383569</v>
      </c>
      <c r="M437" s="8">
        <f t="shared" si="12"/>
        <v>1.925954997383569</v>
      </c>
      <c r="N437" s="1" t="e">
        <f t="shared" si="13"/>
        <v>#DIV/0!</v>
      </c>
    </row>
    <row r="438" spans="1:14" x14ac:dyDescent="0.25">
      <c r="A438" s="2" t="s">
        <v>873</v>
      </c>
      <c r="B438" s="2" t="s">
        <v>874</v>
      </c>
      <c r="C438" s="4">
        <v>186.5</v>
      </c>
      <c r="D438" s="5">
        <v>1024685.84375</v>
      </c>
      <c r="E438" s="5">
        <v>0</v>
      </c>
      <c r="F438" s="5">
        <v>1475467.65625</v>
      </c>
      <c r="G438" s="3">
        <v>5</v>
      </c>
      <c r="H438" s="3"/>
      <c r="I438" s="3">
        <v>8</v>
      </c>
      <c r="J438" s="6">
        <v>5.3387003191180735</v>
      </c>
      <c r="K438" s="6" t="s">
        <v>986</v>
      </c>
      <c r="L438" s="6">
        <v>7.703819989534276</v>
      </c>
      <c r="M438" s="8">
        <f t="shared" si="12"/>
        <v>6.5212601543261748</v>
      </c>
      <c r="N438" s="1">
        <f t="shared" si="13"/>
        <v>1.672392157268991</v>
      </c>
    </row>
    <row r="439" spans="1:14" x14ac:dyDescent="0.25">
      <c r="A439" s="2" t="s">
        <v>875</v>
      </c>
      <c r="B439" s="2" t="s">
        <v>876</v>
      </c>
      <c r="C439" s="4">
        <v>41.4</v>
      </c>
      <c r="D439" s="5">
        <v>184476.40625</v>
      </c>
      <c r="E439" s="5">
        <v>0</v>
      </c>
      <c r="F439" s="5">
        <v>266850.65625</v>
      </c>
      <c r="G439" s="3">
        <v>13</v>
      </c>
      <c r="H439" s="3"/>
      <c r="I439" s="3">
        <v>10</v>
      </c>
      <c r="J439" s="6">
        <v>13.880620829706992</v>
      </c>
      <c r="K439" s="6" t="s">
        <v>986</v>
      </c>
      <c r="L439" s="6">
        <v>9.6297749869178446</v>
      </c>
      <c r="M439" s="8">
        <f t="shared" si="12"/>
        <v>11.755197908312418</v>
      </c>
      <c r="N439" s="1">
        <f t="shared" si="13"/>
        <v>3.0058019212148532</v>
      </c>
    </row>
    <row r="440" spans="1:14" x14ac:dyDescent="0.25">
      <c r="A440" s="2" t="s">
        <v>877</v>
      </c>
      <c r="B440" s="2" t="s">
        <v>878</v>
      </c>
      <c r="C440" s="4">
        <v>17</v>
      </c>
      <c r="D440" s="5">
        <v>0</v>
      </c>
      <c r="E440" s="5">
        <v>0</v>
      </c>
      <c r="F440" s="5">
        <v>2131245.25</v>
      </c>
      <c r="G440" s="3"/>
      <c r="H440" s="3"/>
      <c r="I440" s="3">
        <v>26</v>
      </c>
      <c r="J440" s="6" t="s">
        <v>986</v>
      </c>
      <c r="K440" s="6" t="s">
        <v>986</v>
      </c>
      <c r="L440" s="6">
        <v>25.037414965986393</v>
      </c>
      <c r="M440" s="8">
        <f t="shared" si="12"/>
        <v>25.037414965986393</v>
      </c>
      <c r="N440" s="1" t="e">
        <f t="shared" si="13"/>
        <v>#DIV/0!</v>
      </c>
    </row>
    <row r="441" spans="1:14" x14ac:dyDescent="0.25">
      <c r="A441" s="2" t="s">
        <v>879</v>
      </c>
      <c r="B441" s="2" t="s">
        <v>880</v>
      </c>
      <c r="C441" s="4">
        <v>74</v>
      </c>
      <c r="D441" s="5">
        <v>24436590.25</v>
      </c>
      <c r="E441" s="5">
        <v>0</v>
      </c>
      <c r="F441" s="5">
        <v>10121726</v>
      </c>
      <c r="G441" s="3">
        <v>4</v>
      </c>
      <c r="H441" s="3"/>
      <c r="I441" s="3">
        <v>2</v>
      </c>
      <c r="J441" s="6">
        <v>4.270960255294459</v>
      </c>
      <c r="K441" s="6" t="s">
        <v>986</v>
      </c>
      <c r="L441" s="6">
        <v>1.925954997383569</v>
      </c>
      <c r="M441" s="8">
        <f t="shared" si="12"/>
        <v>3.0984576263390142</v>
      </c>
      <c r="N441" s="1">
        <f t="shared" si="13"/>
        <v>1.658169119786898</v>
      </c>
    </row>
    <row r="442" spans="1:14" x14ac:dyDescent="0.25">
      <c r="A442" s="2" t="s">
        <v>881</v>
      </c>
      <c r="B442" s="2" t="s">
        <v>882</v>
      </c>
      <c r="C442" s="4">
        <v>82.5</v>
      </c>
      <c r="D442" s="5">
        <v>578505.21875</v>
      </c>
      <c r="E442" s="5">
        <v>0</v>
      </c>
      <c r="F442" s="5">
        <v>209006.75</v>
      </c>
      <c r="G442" s="3">
        <v>3</v>
      </c>
      <c r="H442" s="3"/>
      <c r="I442" s="3">
        <v>2</v>
      </c>
      <c r="J442" s="6">
        <v>3.203220191470844</v>
      </c>
      <c r="K442" s="6" t="s">
        <v>986</v>
      </c>
      <c r="L442" s="6">
        <v>1.925954997383569</v>
      </c>
      <c r="M442" s="8">
        <f t="shared" si="12"/>
        <v>2.5645875944272065</v>
      </c>
      <c r="N442" s="1">
        <f t="shared" si="13"/>
        <v>0.90316288011266344</v>
      </c>
    </row>
    <row r="443" spans="1:14" x14ac:dyDescent="0.25">
      <c r="A443" s="2" t="s">
        <v>883</v>
      </c>
      <c r="B443" s="2" t="s">
        <v>884</v>
      </c>
      <c r="C443" s="4">
        <v>23</v>
      </c>
      <c r="D443" s="5">
        <v>0</v>
      </c>
      <c r="E443" s="5">
        <v>0</v>
      </c>
      <c r="F443" s="5">
        <v>717638.984375</v>
      </c>
      <c r="G443" s="3"/>
      <c r="H443" s="3"/>
      <c r="I443" s="3">
        <v>3</v>
      </c>
      <c r="J443" s="6" t="s">
        <v>986</v>
      </c>
      <c r="K443" s="6" t="s">
        <v>986</v>
      </c>
      <c r="L443" s="6">
        <v>2.8889324960753533</v>
      </c>
      <c r="M443" s="8">
        <f t="shared" si="12"/>
        <v>2.8889324960753533</v>
      </c>
      <c r="N443" s="1" t="e">
        <f t="shared" si="13"/>
        <v>#DIV/0!</v>
      </c>
    </row>
    <row r="444" spans="1:14" x14ac:dyDescent="0.25">
      <c r="A444" s="2" t="s">
        <v>885</v>
      </c>
      <c r="B444" s="2" t="s">
        <v>886</v>
      </c>
      <c r="C444" s="4">
        <v>54.7</v>
      </c>
      <c r="D444" s="5">
        <v>0</v>
      </c>
      <c r="E444" s="5">
        <v>0</v>
      </c>
      <c r="F444" s="5">
        <v>737255.125</v>
      </c>
      <c r="G444" s="3"/>
      <c r="H444" s="3"/>
      <c r="I444" s="3">
        <v>12</v>
      </c>
      <c r="J444" s="6" t="s">
        <v>986</v>
      </c>
      <c r="K444" s="6" t="s">
        <v>986</v>
      </c>
      <c r="L444" s="6">
        <v>11.555729984301413</v>
      </c>
      <c r="M444" s="8">
        <f t="shared" si="12"/>
        <v>11.555729984301413</v>
      </c>
      <c r="N444" s="1" t="e">
        <f t="shared" si="13"/>
        <v>#DIV/0!</v>
      </c>
    </row>
    <row r="445" spans="1:14" x14ac:dyDescent="0.25">
      <c r="A445" s="2" t="s">
        <v>887</v>
      </c>
      <c r="B445" s="2" t="s">
        <v>888</v>
      </c>
      <c r="C445" s="4">
        <v>31.5</v>
      </c>
      <c r="D445" s="5">
        <v>0</v>
      </c>
      <c r="E445" s="5">
        <v>0</v>
      </c>
      <c r="F445" s="5">
        <v>6261701.1875</v>
      </c>
      <c r="G445" s="3"/>
      <c r="H445" s="3"/>
      <c r="I445" s="3">
        <v>4</v>
      </c>
      <c r="J445" s="6" t="s">
        <v>986</v>
      </c>
      <c r="K445" s="6" t="s">
        <v>986</v>
      </c>
      <c r="L445" s="6">
        <v>3.851909994767138</v>
      </c>
      <c r="M445" s="8">
        <f t="shared" si="12"/>
        <v>3.851909994767138</v>
      </c>
      <c r="N445" s="1" t="e">
        <f t="shared" si="13"/>
        <v>#DIV/0!</v>
      </c>
    </row>
    <row r="446" spans="1:14" x14ac:dyDescent="0.25">
      <c r="A446" s="2" t="s">
        <v>889</v>
      </c>
      <c r="B446" s="2" t="s">
        <v>890</v>
      </c>
      <c r="C446" s="4">
        <v>16.399999999999999</v>
      </c>
      <c r="D446" s="5">
        <v>0</v>
      </c>
      <c r="E446" s="5">
        <v>0</v>
      </c>
      <c r="F446" s="5">
        <v>899859.15625</v>
      </c>
      <c r="G446" s="3"/>
      <c r="H446" s="3"/>
      <c r="I446" s="3">
        <v>3</v>
      </c>
      <c r="J446" s="6" t="s">
        <v>986</v>
      </c>
      <c r="K446" s="6" t="s">
        <v>986</v>
      </c>
      <c r="L446" s="6">
        <v>2.8889324960753533</v>
      </c>
      <c r="M446" s="8">
        <f t="shared" si="12"/>
        <v>2.8889324960753533</v>
      </c>
      <c r="N446" s="1" t="e">
        <f t="shared" si="13"/>
        <v>#DIV/0!</v>
      </c>
    </row>
    <row r="447" spans="1:14" x14ac:dyDescent="0.25">
      <c r="A447" s="2" t="s">
        <v>891</v>
      </c>
      <c r="B447" s="2" t="s">
        <v>892</v>
      </c>
      <c r="C447" s="4">
        <v>37.9</v>
      </c>
      <c r="D447" s="5">
        <v>169897.796875</v>
      </c>
      <c r="E447" s="5">
        <v>0</v>
      </c>
      <c r="F447" s="5">
        <v>400234.53125</v>
      </c>
      <c r="G447" s="3">
        <v>3</v>
      </c>
      <c r="H447" s="3"/>
      <c r="I447" s="3">
        <v>3</v>
      </c>
      <c r="J447" s="6">
        <v>3.203220191470844</v>
      </c>
      <c r="K447" s="6" t="s">
        <v>986</v>
      </c>
      <c r="L447" s="6">
        <v>2.8889324960753533</v>
      </c>
      <c r="M447" s="8">
        <f t="shared" si="12"/>
        <v>3.0460763437730987</v>
      </c>
      <c r="N447" s="1">
        <f t="shared" si="13"/>
        <v>0.22223496065764356</v>
      </c>
    </row>
    <row r="448" spans="1:14" x14ac:dyDescent="0.25">
      <c r="A448" s="2" t="s">
        <v>893</v>
      </c>
      <c r="B448" s="2" t="s">
        <v>894</v>
      </c>
      <c r="C448" s="4">
        <v>16.399999999999999</v>
      </c>
      <c r="D448" s="5">
        <v>350265.5</v>
      </c>
      <c r="E448" s="5">
        <v>0</v>
      </c>
      <c r="F448" s="5">
        <v>94061.3203125</v>
      </c>
      <c r="G448" s="3">
        <v>7</v>
      </c>
      <c r="H448" s="3"/>
      <c r="I448" s="3">
        <v>16</v>
      </c>
      <c r="J448" s="6">
        <v>7.4741804467653035</v>
      </c>
      <c r="K448" s="6" t="s">
        <v>986</v>
      </c>
      <c r="L448" s="6">
        <v>15.407639979068552</v>
      </c>
      <c r="M448" s="8">
        <f t="shared" si="12"/>
        <v>11.440910212916927</v>
      </c>
      <c r="N448" s="1">
        <f t="shared" si="13"/>
        <v>5.6098030335606897</v>
      </c>
    </row>
    <row r="449" spans="1:14" x14ac:dyDescent="0.25">
      <c r="A449" s="2" t="s">
        <v>895</v>
      </c>
      <c r="B449" s="2" t="s">
        <v>896</v>
      </c>
      <c r="C449" s="4">
        <v>35.5</v>
      </c>
      <c r="D449" s="5">
        <v>3347821.40625</v>
      </c>
      <c r="E449" s="5">
        <v>0</v>
      </c>
      <c r="F449" s="5">
        <v>525088.75</v>
      </c>
      <c r="G449" s="3">
        <v>10</v>
      </c>
      <c r="H449" s="3"/>
      <c r="I449" s="3">
        <v>10</v>
      </c>
      <c r="J449" s="6">
        <v>10.677400638236147</v>
      </c>
      <c r="K449" s="6" t="s">
        <v>986</v>
      </c>
      <c r="L449" s="6">
        <v>9.6297749869178446</v>
      </c>
      <c r="M449" s="8">
        <f t="shared" si="12"/>
        <v>10.153587812576996</v>
      </c>
      <c r="N449" s="1">
        <f t="shared" si="13"/>
        <v>0.74078320219214522</v>
      </c>
    </row>
    <row r="450" spans="1:14" x14ac:dyDescent="0.25">
      <c r="A450" s="2" t="s">
        <v>897</v>
      </c>
      <c r="B450" s="2" t="s">
        <v>898</v>
      </c>
      <c r="C450" s="4">
        <v>34.299999999999997</v>
      </c>
      <c r="D450" s="5">
        <v>0</v>
      </c>
      <c r="E450" s="5">
        <v>0</v>
      </c>
      <c r="F450" s="5">
        <v>776040.3125</v>
      </c>
      <c r="G450" s="3">
        <v>4</v>
      </c>
      <c r="H450" s="3"/>
      <c r="I450" s="3">
        <v>6</v>
      </c>
      <c r="J450" s="6">
        <v>4.270960255294459</v>
      </c>
      <c r="K450" s="6" t="s">
        <v>986</v>
      </c>
      <c r="L450" s="6">
        <v>5.7778649921507066</v>
      </c>
      <c r="M450" s="8">
        <f t="shared" si="12"/>
        <v>5.0244126237225828</v>
      </c>
      <c r="N450" s="1">
        <f t="shared" si="13"/>
        <v>1.0655425580331868</v>
      </c>
    </row>
    <row r="451" spans="1:14" x14ac:dyDescent="0.25">
      <c r="A451" s="2" t="s">
        <v>899</v>
      </c>
      <c r="B451" s="2" t="s">
        <v>900</v>
      </c>
      <c r="C451" s="4">
        <v>37.1</v>
      </c>
      <c r="D451" s="5">
        <v>1184226.25</v>
      </c>
      <c r="E451" s="5">
        <v>0</v>
      </c>
      <c r="F451" s="5">
        <v>1079603.25</v>
      </c>
      <c r="G451" s="3">
        <v>4</v>
      </c>
      <c r="H451" s="3"/>
      <c r="I451" s="3">
        <v>3</v>
      </c>
      <c r="J451" s="6">
        <v>4.270960255294459</v>
      </c>
      <c r="K451" s="6" t="s">
        <v>986</v>
      </c>
      <c r="L451" s="6">
        <v>2.8889324960753533</v>
      </c>
      <c r="M451" s="8">
        <f t="shared" si="12"/>
        <v>3.5799463756849059</v>
      </c>
      <c r="N451" s="1">
        <f t="shared" si="13"/>
        <v>0.97724120033188056</v>
      </c>
    </row>
    <row r="452" spans="1:14" x14ac:dyDescent="0.25">
      <c r="A452" s="2" t="s">
        <v>901</v>
      </c>
      <c r="B452" s="2" t="s">
        <v>902</v>
      </c>
      <c r="C452" s="4">
        <v>47.5</v>
      </c>
      <c r="D452" s="5">
        <v>0</v>
      </c>
      <c r="E452" s="5">
        <v>0</v>
      </c>
      <c r="F452" s="5">
        <v>107293.8046875</v>
      </c>
      <c r="G452" s="3"/>
      <c r="H452" s="3"/>
      <c r="I452" s="3">
        <v>5</v>
      </c>
      <c r="J452" s="6" t="s">
        <v>986</v>
      </c>
      <c r="K452" s="6" t="s">
        <v>986</v>
      </c>
      <c r="L452" s="6">
        <v>4.8148874934589223</v>
      </c>
      <c r="M452" s="8">
        <f t="shared" ref="M452:M492" si="14">AVERAGE(J452:L452)</f>
        <v>4.8148874934589223</v>
      </c>
      <c r="N452" s="1" t="e">
        <f t="shared" ref="N452:N492" si="15">STDEV(J452:L452)</f>
        <v>#DIV/0!</v>
      </c>
    </row>
    <row r="453" spans="1:14" x14ac:dyDescent="0.25">
      <c r="A453" s="2" t="s">
        <v>903</v>
      </c>
      <c r="B453" s="2" t="s">
        <v>904</v>
      </c>
      <c r="C453" s="4">
        <v>13.9</v>
      </c>
      <c r="D453" s="5">
        <v>0</v>
      </c>
      <c r="E453" s="5">
        <v>0</v>
      </c>
      <c r="F453" s="5">
        <v>331615.875</v>
      </c>
      <c r="G453" s="3"/>
      <c r="H453" s="3"/>
      <c r="I453" s="3">
        <v>3</v>
      </c>
      <c r="J453" s="6" t="s">
        <v>986</v>
      </c>
      <c r="K453" s="6" t="s">
        <v>986</v>
      </c>
      <c r="L453" s="6">
        <v>2.8889324960753533</v>
      </c>
      <c r="M453" s="8">
        <f t="shared" si="14"/>
        <v>2.8889324960753533</v>
      </c>
      <c r="N453" s="1" t="e">
        <f t="shared" si="15"/>
        <v>#DIV/0!</v>
      </c>
    </row>
    <row r="454" spans="1:14" x14ac:dyDescent="0.25">
      <c r="A454" s="2" t="s">
        <v>905</v>
      </c>
      <c r="B454" s="2" t="s">
        <v>906</v>
      </c>
      <c r="C454" s="4">
        <v>67.8</v>
      </c>
      <c r="D454" s="5">
        <v>848153.125</v>
      </c>
      <c r="E454" s="5">
        <v>0</v>
      </c>
      <c r="F454" s="5">
        <v>1556544.65625</v>
      </c>
      <c r="G454" s="3">
        <v>3</v>
      </c>
      <c r="H454" s="3"/>
      <c r="I454" s="3">
        <v>5</v>
      </c>
      <c r="J454" s="6">
        <v>3.203220191470844</v>
      </c>
      <c r="K454" s="6" t="s">
        <v>986</v>
      </c>
      <c r="L454" s="6">
        <v>4.8148874934589223</v>
      </c>
      <c r="M454" s="8">
        <f t="shared" si="14"/>
        <v>4.0090538424648834</v>
      </c>
      <c r="N454" s="1">
        <f t="shared" si="15"/>
        <v>1.139620878252394</v>
      </c>
    </row>
    <row r="455" spans="1:14" x14ac:dyDescent="0.25">
      <c r="A455" s="2" t="s">
        <v>907</v>
      </c>
      <c r="B455" s="2" t="s">
        <v>908</v>
      </c>
      <c r="C455" s="4">
        <v>18.7</v>
      </c>
      <c r="D455" s="5">
        <v>0</v>
      </c>
      <c r="E455" s="5">
        <v>0</v>
      </c>
      <c r="F455" s="5">
        <v>38116056</v>
      </c>
      <c r="G455" s="3"/>
      <c r="H455" s="3"/>
      <c r="I455" s="3">
        <v>22</v>
      </c>
      <c r="J455" s="6" t="s">
        <v>986</v>
      </c>
      <c r="K455" s="6" t="s">
        <v>986</v>
      </c>
      <c r="L455" s="6">
        <v>21.185504971219256</v>
      </c>
      <c r="M455" s="8">
        <f t="shared" si="14"/>
        <v>21.185504971219256</v>
      </c>
      <c r="N455" s="1" t="e">
        <f t="shared" si="15"/>
        <v>#DIV/0!</v>
      </c>
    </row>
    <row r="456" spans="1:14" x14ac:dyDescent="0.25">
      <c r="A456" s="2" t="s">
        <v>909</v>
      </c>
      <c r="B456" s="2" t="s">
        <v>910</v>
      </c>
      <c r="C456" s="4">
        <v>27.3</v>
      </c>
      <c r="D456" s="5">
        <v>0</v>
      </c>
      <c r="E456" s="5">
        <v>0</v>
      </c>
      <c r="F456" s="5">
        <v>229574.328125</v>
      </c>
      <c r="G456" s="3"/>
      <c r="H456" s="3"/>
      <c r="I456" s="3">
        <v>2</v>
      </c>
      <c r="J456" s="6" t="s">
        <v>986</v>
      </c>
      <c r="K456" s="6" t="s">
        <v>986</v>
      </c>
      <c r="L456" s="6">
        <v>1.925954997383569</v>
      </c>
      <c r="M456" s="8">
        <f t="shared" si="14"/>
        <v>1.925954997383569</v>
      </c>
      <c r="N456" s="1" t="e">
        <f t="shared" si="15"/>
        <v>#DIV/0!</v>
      </c>
    </row>
    <row r="457" spans="1:14" x14ac:dyDescent="0.25">
      <c r="A457" s="2" t="s">
        <v>911</v>
      </c>
      <c r="B457" s="2" t="s">
        <v>912</v>
      </c>
      <c r="C457" s="4">
        <v>38.1</v>
      </c>
      <c r="D457" s="5">
        <v>436217.46875</v>
      </c>
      <c r="E457" s="5">
        <v>0</v>
      </c>
      <c r="F457" s="5">
        <v>843436.875</v>
      </c>
      <c r="G457" s="3">
        <v>13</v>
      </c>
      <c r="H457" s="3"/>
      <c r="I457" s="3">
        <v>14</v>
      </c>
      <c r="J457" s="6">
        <v>13.880620829706992</v>
      </c>
      <c r="K457" s="6" t="s">
        <v>986</v>
      </c>
      <c r="L457" s="6">
        <v>13.481684981684982</v>
      </c>
      <c r="M457" s="8">
        <f t="shared" si="14"/>
        <v>13.681152905695987</v>
      </c>
      <c r="N457" s="1">
        <f t="shared" si="15"/>
        <v>0.28209024339476907</v>
      </c>
    </row>
    <row r="458" spans="1:14" x14ac:dyDescent="0.25">
      <c r="A458" s="2" t="s">
        <v>913</v>
      </c>
      <c r="B458" s="2" t="s">
        <v>914</v>
      </c>
      <c r="C458" s="4">
        <v>78</v>
      </c>
      <c r="D458" s="5">
        <v>1076434.5625</v>
      </c>
      <c r="E458" s="5">
        <v>0</v>
      </c>
      <c r="F458" s="5">
        <v>873868.21875</v>
      </c>
      <c r="G458" s="3">
        <v>4</v>
      </c>
      <c r="H458" s="3"/>
      <c r="I458" s="3">
        <v>4</v>
      </c>
      <c r="J458" s="6">
        <v>4.270960255294459</v>
      </c>
      <c r="K458" s="6" t="s">
        <v>986</v>
      </c>
      <c r="L458" s="6">
        <v>3.851909994767138</v>
      </c>
      <c r="M458" s="8">
        <f t="shared" si="14"/>
        <v>4.0614351250307985</v>
      </c>
      <c r="N458" s="1">
        <f t="shared" si="15"/>
        <v>0.2963132808768581</v>
      </c>
    </row>
    <row r="459" spans="1:14" x14ac:dyDescent="0.25">
      <c r="A459" s="2" t="s">
        <v>915</v>
      </c>
      <c r="B459" s="2" t="s">
        <v>916</v>
      </c>
      <c r="C459" s="4">
        <v>71.3</v>
      </c>
      <c r="D459" s="5">
        <v>0</v>
      </c>
      <c r="E459" s="5">
        <v>0</v>
      </c>
      <c r="F459" s="5">
        <v>310725.625</v>
      </c>
      <c r="G459" s="3"/>
      <c r="H459" s="3"/>
      <c r="I459" s="3">
        <v>2</v>
      </c>
      <c r="J459" s="6" t="s">
        <v>986</v>
      </c>
      <c r="K459" s="6" t="s">
        <v>986</v>
      </c>
      <c r="L459" s="6">
        <v>1.925954997383569</v>
      </c>
      <c r="M459" s="8">
        <f t="shared" si="14"/>
        <v>1.925954997383569</v>
      </c>
      <c r="N459" s="1" t="e">
        <f t="shared" si="15"/>
        <v>#DIV/0!</v>
      </c>
    </row>
    <row r="460" spans="1:14" x14ac:dyDescent="0.25">
      <c r="A460" s="2" t="s">
        <v>917</v>
      </c>
      <c r="B460" s="2" t="s">
        <v>918</v>
      </c>
      <c r="C460" s="4">
        <v>25.3</v>
      </c>
      <c r="D460" s="5">
        <v>779517.53125</v>
      </c>
      <c r="E460" s="5">
        <v>0</v>
      </c>
      <c r="F460" s="5">
        <v>1046418.3125</v>
      </c>
      <c r="G460" s="3">
        <v>3</v>
      </c>
      <c r="H460" s="3"/>
      <c r="I460" s="3">
        <v>3</v>
      </c>
      <c r="J460" s="6">
        <v>3.203220191470844</v>
      </c>
      <c r="K460" s="6" t="s">
        <v>986</v>
      </c>
      <c r="L460" s="6">
        <v>2.8889324960753533</v>
      </c>
      <c r="M460" s="8">
        <f t="shared" si="14"/>
        <v>3.0460763437730987</v>
      </c>
      <c r="N460" s="1">
        <f t="shared" si="15"/>
        <v>0.22223496065764356</v>
      </c>
    </row>
    <row r="461" spans="1:14" x14ac:dyDescent="0.25">
      <c r="A461" s="2" t="s">
        <v>919</v>
      </c>
      <c r="B461" s="2" t="s">
        <v>920</v>
      </c>
      <c r="C461" s="4">
        <v>49.4</v>
      </c>
      <c r="D461" s="5">
        <v>0</v>
      </c>
      <c r="E461" s="5">
        <v>0</v>
      </c>
      <c r="F461" s="5">
        <v>3589370.0234375</v>
      </c>
      <c r="G461" s="3"/>
      <c r="H461" s="3"/>
      <c r="I461" s="3">
        <v>4</v>
      </c>
      <c r="J461" s="6" t="s">
        <v>986</v>
      </c>
      <c r="K461" s="6" t="s">
        <v>986</v>
      </c>
      <c r="L461" s="6">
        <v>3.851909994767138</v>
      </c>
      <c r="M461" s="8">
        <f t="shared" si="14"/>
        <v>3.851909994767138</v>
      </c>
      <c r="N461" s="1" t="e">
        <f t="shared" si="15"/>
        <v>#DIV/0!</v>
      </c>
    </row>
    <row r="462" spans="1:14" x14ac:dyDescent="0.25">
      <c r="A462" s="2" t="s">
        <v>921</v>
      </c>
      <c r="B462" s="2" t="s">
        <v>922</v>
      </c>
      <c r="C462" s="4">
        <v>34</v>
      </c>
      <c r="D462" s="5">
        <v>0</v>
      </c>
      <c r="E462" s="5">
        <v>0</v>
      </c>
      <c r="F462" s="5">
        <v>2109792.25</v>
      </c>
      <c r="G462" s="3"/>
      <c r="H462" s="3"/>
      <c r="I462" s="3">
        <v>14</v>
      </c>
      <c r="J462" s="6" t="s">
        <v>986</v>
      </c>
      <c r="K462" s="6" t="s">
        <v>986</v>
      </c>
      <c r="L462" s="6">
        <v>13.481684981684982</v>
      </c>
      <c r="M462" s="8">
        <f t="shared" si="14"/>
        <v>13.481684981684982</v>
      </c>
      <c r="N462" s="1" t="e">
        <f t="shared" si="15"/>
        <v>#DIV/0!</v>
      </c>
    </row>
    <row r="463" spans="1:14" x14ac:dyDescent="0.25">
      <c r="A463" s="2" t="s">
        <v>923</v>
      </c>
      <c r="B463" s="2" t="s">
        <v>924</v>
      </c>
      <c r="C463" s="4">
        <v>123</v>
      </c>
      <c r="D463" s="5">
        <v>0</v>
      </c>
      <c r="E463" s="5">
        <v>0</v>
      </c>
      <c r="F463" s="5">
        <v>1213394.453125</v>
      </c>
      <c r="G463" s="3"/>
      <c r="H463" s="3"/>
      <c r="I463" s="3">
        <v>45</v>
      </c>
      <c r="J463" s="6" t="s">
        <v>986</v>
      </c>
      <c r="K463" s="6" t="s">
        <v>986</v>
      </c>
      <c r="L463" s="6">
        <v>43.333987441130304</v>
      </c>
      <c r="M463" s="8">
        <f t="shared" si="14"/>
        <v>43.333987441130304</v>
      </c>
      <c r="N463" s="1" t="e">
        <f t="shared" si="15"/>
        <v>#DIV/0!</v>
      </c>
    </row>
    <row r="464" spans="1:14" x14ac:dyDescent="0.25">
      <c r="A464" s="2" t="s">
        <v>925</v>
      </c>
      <c r="B464" s="2" t="s">
        <v>926</v>
      </c>
      <c r="C464" s="4">
        <v>31.7</v>
      </c>
      <c r="D464" s="5">
        <v>0</v>
      </c>
      <c r="E464" s="5">
        <v>0</v>
      </c>
      <c r="F464" s="5">
        <v>704515.453125</v>
      </c>
      <c r="G464" s="3"/>
      <c r="H464" s="3"/>
      <c r="I464" s="3">
        <v>3</v>
      </c>
      <c r="J464" s="6" t="s">
        <v>986</v>
      </c>
      <c r="K464" s="6" t="s">
        <v>986</v>
      </c>
      <c r="L464" s="6">
        <v>2.8889324960753533</v>
      </c>
      <c r="M464" s="8">
        <f t="shared" si="14"/>
        <v>2.8889324960753533</v>
      </c>
      <c r="N464" s="1" t="e">
        <f t="shared" si="15"/>
        <v>#DIV/0!</v>
      </c>
    </row>
    <row r="465" spans="1:14" x14ac:dyDescent="0.25">
      <c r="A465" s="2" t="s">
        <v>927</v>
      </c>
      <c r="B465" s="2" t="s">
        <v>928</v>
      </c>
      <c r="C465" s="4">
        <v>40.700000000000003</v>
      </c>
      <c r="D465" s="5">
        <v>357046.84375</v>
      </c>
      <c r="E465" s="5">
        <v>0</v>
      </c>
      <c r="F465" s="5">
        <v>308746.9375</v>
      </c>
      <c r="G465" s="3">
        <v>4</v>
      </c>
      <c r="H465" s="3"/>
      <c r="I465" s="3">
        <v>4</v>
      </c>
      <c r="J465" s="6">
        <v>4.270960255294459</v>
      </c>
      <c r="K465" s="6" t="s">
        <v>986</v>
      </c>
      <c r="L465" s="6">
        <v>3.851909994767138</v>
      </c>
      <c r="M465" s="8">
        <f t="shared" si="14"/>
        <v>4.0614351250307985</v>
      </c>
      <c r="N465" s="1">
        <f t="shared" si="15"/>
        <v>0.2963132808768581</v>
      </c>
    </row>
    <row r="466" spans="1:14" x14ac:dyDescent="0.25">
      <c r="A466" s="2" t="s">
        <v>929</v>
      </c>
      <c r="B466" s="2" t="s">
        <v>930</v>
      </c>
      <c r="C466" s="4">
        <v>80.3</v>
      </c>
      <c r="D466" s="5">
        <v>0</v>
      </c>
      <c r="E466" s="5">
        <v>0</v>
      </c>
      <c r="F466" s="5">
        <v>2220310.078125</v>
      </c>
      <c r="G466" s="3"/>
      <c r="H466" s="3"/>
      <c r="I466" s="3">
        <v>17</v>
      </c>
      <c r="J466" s="6" t="s">
        <v>986</v>
      </c>
      <c r="K466" s="6" t="s">
        <v>986</v>
      </c>
      <c r="L466" s="6">
        <v>16.370617477760334</v>
      </c>
      <c r="M466" s="8">
        <f t="shared" si="14"/>
        <v>16.370617477760334</v>
      </c>
      <c r="N466" s="1" t="e">
        <f t="shared" si="15"/>
        <v>#DIV/0!</v>
      </c>
    </row>
    <row r="467" spans="1:14" x14ac:dyDescent="0.25">
      <c r="A467" s="2" t="s">
        <v>931</v>
      </c>
      <c r="B467" s="2" t="s">
        <v>932</v>
      </c>
      <c r="C467" s="4">
        <v>50.6</v>
      </c>
      <c r="D467" s="5">
        <v>0</v>
      </c>
      <c r="E467" s="5">
        <v>0</v>
      </c>
      <c r="F467" s="5">
        <v>804515.375</v>
      </c>
      <c r="G467" s="3"/>
      <c r="H467" s="3"/>
      <c r="I467" s="3">
        <v>3</v>
      </c>
      <c r="J467" s="6" t="s">
        <v>986</v>
      </c>
      <c r="K467" s="6" t="s">
        <v>986</v>
      </c>
      <c r="L467" s="6">
        <v>2.8889324960753533</v>
      </c>
      <c r="M467" s="8">
        <f t="shared" si="14"/>
        <v>2.8889324960753533</v>
      </c>
      <c r="N467" s="1" t="e">
        <f t="shared" si="15"/>
        <v>#DIV/0!</v>
      </c>
    </row>
    <row r="468" spans="1:14" x14ac:dyDescent="0.25">
      <c r="A468" s="2" t="s">
        <v>933</v>
      </c>
      <c r="B468" s="2" t="s">
        <v>934</v>
      </c>
      <c r="C468" s="4">
        <v>51.7</v>
      </c>
      <c r="D468" s="5">
        <v>0</v>
      </c>
      <c r="E468" s="5">
        <v>0</v>
      </c>
      <c r="F468" s="5">
        <v>1132809.0625</v>
      </c>
      <c r="G468" s="3"/>
      <c r="H468" s="3"/>
      <c r="I468" s="3">
        <v>6</v>
      </c>
      <c r="J468" s="6" t="s">
        <v>986</v>
      </c>
      <c r="K468" s="6" t="s">
        <v>986</v>
      </c>
      <c r="L468" s="6">
        <v>5.7778649921507066</v>
      </c>
      <c r="M468" s="8">
        <f t="shared" si="14"/>
        <v>5.7778649921507066</v>
      </c>
      <c r="N468" s="1" t="e">
        <f t="shared" si="15"/>
        <v>#DIV/0!</v>
      </c>
    </row>
    <row r="469" spans="1:14" x14ac:dyDescent="0.25">
      <c r="A469" s="2" t="s">
        <v>935</v>
      </c>
      <c r="B469" s="2" t="s">
        <v>936</v>
      </c>
      <c r="C469" s="4">
        <v>25.2</v>
      </c>
      <c r="D469" s="5">
        <v>5812044</v>
      </c>
      <c r="E469" s="5">
        <v>0</v>
      </c>
      <c r="F469" s="5">
        <v>5585019.21875</v>
      </c>
      <c r="G469" s="3">
        <v>21</v>
      </c>
      <c r="H469" s="3"/>
      <c r="I469" s="3">
        <v>19</v>
      </c>
      <c r="J469" s="6">
        <v>22.422541340295911</v>
      </c>
      <c r="K469" s="6" t="s">
        <v>986</v>
      </c>
      <c r="L469" s="6">
        <v>18.296572475143904</v>
      </c>
      <c r="M469" s="8">
        <f t="shared" si="14"/>
        <v>20.359556907719906</v>
      </c>
      <c r="N469" s="1">
        <f t="shared" si="15"/>
        <v>2.9175005635135798</v>
      </c>
    </row>
    <row r="470" spans="1:14" x14ac:dyDescent="0.25">
      <c r="A470" s="2" t="s">
        <v>937</v>
      </c>
      <c r="B470" s="2" t="s">
        <v>938</v>
      </c>
      <c r="C470" s="4">
        <v>38.200000000000003</v>
      </c>
      <c r="D470" s="5">
        <v>472748.1875</v>
      </c>
      <c r="E470" s="5">
        <v>0</v>
      </c>
      <c r="F470" s="5">
        <v>939128.765625</v>
      </c>
      <c r="G470" s="3">
        <v>3</v>
      </c>
      <c r="H470" s="3"/>
      <c r="I470" s="3">
        <v>4</v>
      </c>
      <c r="J470" s="6">
        <v>3.203220191470844</v>
      </c>
      <c r="K470" s="6" t="s">
        <v>986</v>
      </c>
      <c r="L470" s="6">
        <v>3.851909994767138</v>
      </c>
      <c r="M470" s="8">
        <f t="shared" si="14"/>
        <v>3.5275650931189908</v>
      </c>
      <c r="N470" s="1">
        <f t="shared" si="15"/>
        <v>0.45869295879737709</v>
      </c>
    </row>
    <row r="471" spans="1:14" x14ac:dyDescent="0.25">
      <c r="A471" s="2" t="s">
        <v>939</v>
      </c>
      <c r="B471" s="2" t="s">
        <v>940</v>
      </c>
      <c r="C471" s="4">
        <v>112.2</v>
      </c>
      <c r="D471" s="5">
        <v>0</v>
      </c>
      <c r="E471" s="5">
        <v>0</v>
      </c>
      <c r="F471" s="5">
        <v>346383.5</v>
      </c>
      <c r="G471" s="3"/>
      <c r="H471" s="3"/>
      <c r="I471" s="3">
        <v>3</v>
      </c>
      <c r="J471" s="6" t="s">
        <v>986</v>
      </c>
      <c r="K471" s="6" t="s">
        <v>986</v>
      </c>
      <c r="L471" s="6">
        <v>2.8889324960753533</v>
      </c>
      <c r="M471" s="8">
        <f t="shared" si="14"/>
        <v>2.8889324960753533</v>
      </c>
      <c r="N471" s="1" t="e">
        <f t="shared" si="15"/>
        <v>#DIV/0!</v>
      </c>
    </row>
    <row r="472" spans="1:14" x14ac:dyDescent="0.25">
      <c r="A472" s="2" t="s">
        <v>941</v>
      </c>
      <c r="B472" s="2" t="s">
        <v>942</v>
      </c>
      <c r="C472" s="4">
        <v>14.7</v>
      </c>
      <c r="D472" s="5">
        <v>0</v>
      </c>
      <c r="E472" s="5">
        <v>0</v>
      </c>
      <c r="F472" s="5">
        <v>437375.125</v>
      </c>
      <c r="G472" s="3"/>
      <c r="H472" s="3"/>
      <c r="I472" s="3">
        <v>12</v>
      </c>
      <c r="J472" s="6" t="s">
        <v>986</v>
      </c>
      <c r="K472" s="6" t="s">
        <v>986</v>
      </c>
      <c r="L472" s="6">
        <v>11.555729984301413</v>
      </c>
      <c r="M472" s="8">
        <f t="shared" si="14"/>
        <v>11.555729984301413</v>
      </c>
      <c r="N472" s="1" t="e">
        <f t="shared" si="15"/>
        <v>#DIV/0!</v>
      </c>
    </row>
    <row r="473" spans="1:14" x14ac:dyDescent="0.25">
      <c r="A473" s="2" t="s">
        <v>943</v>
      </c>
      <c r="B473" s="2" t="s">
        <v>944</v>
      </c>
      <c r="C473" s="4">
        <v>60.4</v>
      </c>
      <c r="D473" s="5">
        <v>0</v>
      </c>
      <c r="E473" s="5">
        <v>0</v>
      </c>
      <c r="F473" s="5">
        <v>9777808.203125</v>
      </c>
      <c r="G473" s="3"/>
      <c r="H473" s="3"/>
      <c r="I473" s="3">
        <v>19</v>
      </c>
      <c r="J473" s="6" t="s">
        <v>986</v>
      </c>
      <c r="K473" s="6" t="s">
        <v>986</v>
      </c>
      <c r="L473" s="6">
        <v>18.296572475143904</v>
      </c>
      <c r="M473" s="8">
        <f t="shared" si="14"/>
        <v>18.296572475143904</v>
      </c>
      <c r="N473" s="1" t="e">
        <f t="shared" si="15"/>
        <v>#DIV/0!</v>
      </c>
    </row>
    <row r="474" spans="1:14" x14ac:dyDescent="0.25">
      <c r="A474" s="2" t="s">
        <v>945</v>
      </c>
      <c r="B474" s="2" t="s">
        <v>946</v>
      </c>
      <c r="C474" s="4">
        <v>62.1</v>
      </c>
      <c r="D474" s="5">
        <v>0</v>
      </c>
      <c r="E474" s="5">
        <v>0</v>
      </c>
      <c r="F474" s="5">
        <v>352293.625</v>
      </c>
      <c r="G474" s="3"/>
      <c r="H474" s="3"/>
      <c r="I474" s="3">
        <v>2</v>
      </c>
      <c r="J474" s="6" t="s">
        <v>986</v>
      </c>
      <c r="K474" s="6" t="s">
        <v>986</v>
      </c>
      <c r="L474" s="6">
        <v>1.925954997383569</v>
      </c>
      <c r="M474" s="8">
        <f t="shared" si="14"/>
        <v>1.925954997383569</v>
      </c>
      <c r="N474" s="1" t="e">
        <f t="shared" si="15"/>
        <v>#DIV/0!</v>
      </c>
    </row>
    <row r="475" spans="1:14" x14ac:dyDescent="0.25">
      <c r="A475" s="2" t="s">
        <v>947</v>
      </c>
      <c r="B475" s="2" t="s">
        <v>948</v>
      </c>
      <c r="C475" s="4">
        <v>95</v>
      </c>
      <c r="D475" s="5">
        <v>0</v>
      </c>
      <c r="E475" s="5">
        <v>0</v>
      </c>
      <c r="F475" s="5">
        <v>49021.44921875</v>
      </c>
      <c r="G475" s="3"/>
      <c r="H475" s="3"/>
      <c r="I475" s="3">
        <v>11</v>
      </c>
      <c r="J475" s="6" t="s">
        <v>986</v>
      </c>
      <c r="K475" s="6" t="s">
        <v>986</v>
      </c>
      <c r="L475" s="6">
        <v>10.592752485609628</v>
      </c>
      <c r="M475" s="8">
        <f t="shared" si="14"/>
        <v>10.592752485609628</v>
      </c>
      <c r="N475" s="1" t="e">
        <f t="shared" si="15"/>
        <v>#DIV/0!</v>
      </c>
    </row>
    <row r="476" spans="1:14" x14ac:dyDescent="0.25">
      <c r="A476" s="2" t="s">
        <v>949</v>
      </c>
      <c r="B476" s="2" t="s">
        <v>950</v>
      </c>
      <c r="C476" s="4">
        <v>52.9</v>
      </c>
      <c r="D476" s="5">
        <v>432542.0703125</v>
      </c>
      <c r="E476" s="5">
        <v>0</v>
      </c>
      <c r="F476" s="5">
        <v>678830.234375</v>
      </c>
      <c r="G476" s="3">
        <v>3</v>
      </c>
      <c r="H476" s="3"/>
      <c r="I476" s="3">
        <v>4</v>
      </c>
      <c r="J476" s="6">
        <v>3.203220191470844</v>
      </c>
      <c r="K476" s="6" t="s">
        <v>986</v>
      </c>
      <c r="L476" s="6">
        <v>3.851909994767138</v>
      </c>
      <c r="M476" s="8">
        <f t="shared" si="14"/>
        <v>3.5275650931189908</v>
      </c>
      <c r="N476" s="1">
        <f t="shared" si="15"/>
        <v>0.45869295879737709</v>
      </c>
    </row>
    <row r="477" spans="1:14" x14ac:dyDescent="0.25">
      <c r="A477" s="2" t="s">
        <v>951</v>
      </c>
      <c r="B477" s="2" t="s">
        <v>952</v>
      </c>
      <c r="C477" s="4">
        <v>30.4</v>
      </c>
      <c r="D477" s="5">
        <v>0</v>
      </c>
      <c r="E477" s="5">
        <v>0</v>
      </c>
      <c r="F477" s="5">
        <v>2013026.9375</v>
      </c>
      <c r="G477" s="3"/>
      <c r="H477" s="3"/>
      <c r="I477" s="3">
        <v>2</v>
      </c>
      <c r="J477" s="6" t="s">
        <v>986</v>
      </c>
      <c r="K477" s="6" t="s">
        <v>986</v>
      </c>
      <c r="L477" s="6">
        <v>1.925954997383569</v>
      </c>
      <c r="M477" s="8">
        <f t="shared" si="14"/>
        <v>1.925954997383569</v>
      </c>
      <c r="N477" s="1" t="e">
        <f t="shared" si="15"/>
        <v>#DIV/0!</v>
      </c>
    </row>
    <row r="478" spans="1:14" x14ac:dyDescent="0.25">
      <c r="A478" s="2" t="s">
        <v>953</v>
      </c>
      <c r="B478" s="2" t="s">
        <v>954</v>
      </c>
      <c r="C478" s="4">
        <v>26.6</v>
      </c>
      <c r="D478" s="5">
        <v>0</v>
      </c>
      <c r="E478" s="5">
        <v>0</v>
      </c>
      <c r="F478" s="5">
        <v>535286.875</v>
      </c>
      <c r="G478" s="3"/>
      <c r="H478" s="3"/>
      <c r="I478" s="3">
        <v>2</v>
      </c>
      <c r="J478" s="6" t="s">
        <v>986</v>
      </c>
      <c r="K478" s="6" t="s">
        <v>986</v>
      </c>
      <c r="L478" s="6">
        <v>1.925954997383569</v>
      </c>
      <c r="M478" s="8">
        <f t="shared" si="14"/>
        <v>1.925954997383569</v>
      </c>
      <c r="N478" s="1" t="e">
        <f t="shared" si="15"/>
        <v>#DIV/0!</v>
      </c>
    </row>
    <row r="479" spans="1:14" x14ac:dyDescent="0.25">
      <c r="A479" s="2" t="s">
        <v>955</v>
      </c>
      <c r="B479" s="2" t="s">
        <v>956</v>
      </c>
      <c r="C479" s="4">
        <v>45.2</v>
      </c>
      <c r="D479" s="5">
        <v>0</v>
      </c>
      <c r="E479" s="5">
        <v>0</v>
      </c>
      <c r="F479" s="5">
        <v>348691.390625</v>
      </c>
      <c r="G479" s="3"/>
      <c r="H479" s="3"/>
      <c r="I479" s="3">
        <v>2</v>
      </c>
      <c r="J479" s="6" t="s">
        <v>986</v>
      </c>
      <c r="K479" s="6" t="s">
        <v>986</v>
      </c>
      <c r="L479" s="6">
        <v>1.925954997383569</v>
      </c>
      <c r="M479" s="8">
        <f t="shared" si="14"/>
        <v>1.925954997383569</v>
      </c>
      <c r="N479" s="1" t="e">
        <f t="shared" si="15"/>
        <v>#DIV/0!</v>
      </c>
    </row>
    <row r="480" spans="1:14" x14ac:dyDescent="0.25">
      <c r="A480" s="2" t="s">
        <v>957</v>
      </c>
      <c r="B480" s="2" t="s">
        <v>958</v>
      </c>
      <c r="C480" s="4">
        <v>69.599999999999994</v>
      </c>
      <c r="D480" s="5">
        <v>15165198</v>
      </c>
      <c r="E480" s="5">
        <v>0</v>
      </c>
      <c r="F480" s="5">
        <v>55006208.53125</v>
      </c>
      <c r="G480" s="3">
        <v>18</v>
      </c>
      <c r="H480" s="3"/>
      <c r="I480" s="3">
        <v>19</v>
      </c>
      <c r="J480" s="6">
        <v>19.219321148825067</v>
      </c>
      <c r="K480" s="6" t="s">
        <v>986</v>
      </c>
      <c r="L480" s="6">
        <v>18.296572475143904</v>
      </c>
      <c r="M480" s="8">
        <f t="shared" si="14"/>
        <v>18.757946811984485</v>
      </c>
      <c r="N480" s="1">
        <f t="shared" si="15"/>
        <v>0.6524818444908429</v>
      </c>
    </row>
    <row r="481" spans="1:14" x14ac:dyDescent="0.25">
      <c r="A481" s="2" t="s">
        <v>959</v>
      </c>
      <c r="B481" s="2" t="s">
        <v>960</v>
      </c>
      <c r="C481" s="4">
        <v>84.7</v>
      </c>
      <c r="D481" s="5">
        <v>1277243.65625</v>
      </c>
      <c r="E481" s="5">
        <v>0</v>
      </c>
      <c r="F481" s="5">
        <v>668851.1875</v>
      </c>
      <c r="G481" s="3">
        <v>13</v>
      </c>
      <c r="H481" s="3"/>
      <c r="I481" s="3">
        <v>17</v>
      </c>
      <c r="J481" s="6">
        <v>13.880620829706992</v>
      </c>
      <c r="K481" s="6" t="s">
        <v>986</v>
      </c>
      <c r="L481" s="6">
        <v>16.370617477760334</v>
      </c>
      <c r="M481" s="8">
        <f t="shared" si="14"/>
        <v>15.125619153733663</v>
      </c>
      <c r="N481" s="1">
        <f t="shared" si="15"/>
        <v>1.7606935149702914</v>
      </c>
    </row>
    <row r="482" spans="1:14" x14ac:dyDescent="0.25">
      <c r="A482" s="2" t="s">
        <v>961</v>
      </c>
      <c r="B482" s="2" t="s">
        <v>962</v>
      </c>
      <c r="C482" s="4">
        <v>28.5</v>
      </c>
      <c r="D482" s="5">
        <v>0</v>
      </c>
      <c r="E482" s="5">
        <v>0</v>
      </c>
      <c r="F482" s="5">
        <v>748210.578125</v>
      </c>
      <c r="G482" s="3"/>
      <c r="H482" s="3"/>
      <c r="I482" s="3">
        <v>3</v>
      </c>
      <c r="J482" s="6" t="s">
        <v>986</v>
      </c>
      <c r="K482" s="6" t="s">
        <v>986</v>
      </c>
      <c r="L482" s="6">
        <v>2.8889324960753533</v>
      </c>
      <c r="M482" s="8">
        <f t="shared" si="14"/>
        <v>2.8889324960753533</v>
      </c>
      <c r="N482" s="1" t="e">
        <f t="shared" si="15"/>
        <v>#DIV/0!</v>
      </c>
    </row>
    <row r="483" spans="1:14" x14ac:dyDescent="0.25">
      <c r="A483" s="2" t="s">
        <v>963</v>
      </c>
      <c r="B483" s="2" t="s">
        <v>964</v>
      </c>
      <c r="C483" s="4">
        <v>108</v>
      </c>
      <c r="D483" s="5">
        <v>1094955.125</v>
      </c>
      <c r="E483" s="5">
        <v>0</v>
      </c>
      <c r="F483" s="5">
        <v>1106373.6875</v>
      </c>
      <c r="G483" s="3">
        <v>3</v>
      </c>
      <c r="H483" s="3"/>
      <c r="I483" s="3">
        <v>4</v>
      </c>
      <c r="J483" s="6">
        <v>3.203220191470844</v>
      </c>
      <c r="K483" s="6" t="s">
        <v>986</v>
      </c>
      <c r="L483" s="6">
        <v>3.851909994767138</v>
      </c>
      <c r="M483" s="8">
        <f t="shared" si="14"/>
        <v>3.5275650931189908</v>
      </c>
      <c r="N483" s="1">
        <f t="shared" si="15"/>
        <v>0.45869295879737709</v>
      </c>
    </row>
    <row r="484" spans="1:14" x14ac:dyDescent="0.25">
      <c r="A484" s="2" t="s">
        <v>965</v>
      </c>
      <c r="B484" s="2" t="s">
        <v>966</v>
      </c>
      <c r="C484" s="4">
        <v>24.4</v>
      </c>
      <c r="D484" s="5">
        <v>0</v>
      </c>
      <c r="E484" s="5">
        <v>0</v>
      </c>
      <c r="F484" s="5">
        <v>3404820.0625</v>
      </c>
      <c r="G484" s="3"/>
      <c r="H484" s="3"/>
      <c r="I484" s="3">
        <v>10</v>
      </c>
      <c r="J484" s="6" t="s">
        <v>986</v>
      </c>
      <c r="K484" s="6" t="s">
        <v>986</v>
      </c>
      <c r="L484" s="6">
        <v>9.6297749869178446</v>
      </c>
      <c r="M484" s="8">
        <f t="shared" si="14"/>
        <v>9.6297749869178446</v>
      </c>
      <c r="N484" s="1" t="e">
        <f t="shared" si="15"/>
        <v>#DIV/0!</v>
      </c>
    </row>
    <row r="485" spans="1:14" x14ac:dyDescent="0.25">
      <c r="A485" s="2" t="s">
        <v>967</v>
      </c>
      <c r="B485" s="2" t="s">
        <v>968</v>
      </c>
      <c r="C485" s="4">
        <v>53.9</v>
      </c>
      <c r="D485" s="5">
        <v>0</v>
      </c>
      <c r="E485" s="5">
        <v>0</v>
      </c>
      <c r="F485" s="5">
        <v>5406283.078125</v>
      </c>
      <c r="G485" s="3"/>
      <c r="H485" s="3"/>
      <c r="I485" s="3">
        <v>17</v>
      </c>
      <c r="J485" s="6" t="s">
        <v>986</v>
      </c>
      <c r="K485" s="6" t="s">
        <v>986</v>
      </c>
      <c r="L485" s="6">
        <v>16.370617477760334</v>
      </c>
      <c r="M485" s="8">
        <f t="shared" si="14"/>
        <v>16.370617477760334</v>
      </c>
      <c r="N485" s="1" t="e">
        <f t="shared" si="15"/>
        <v>#DIV/0!</v>
      </c>
    </row>
    <row r="486" spans="1:14" x14ac:dyDescent="0.25">
      <c r="A486" s="2" t="s">
        <v>969</v>
      </c>
      <c r="B486" s="2" t="s">
        <v>970</v>
      </c>
      <c r="C486" s="4">
        <v>54</v>
      </c>
      <c r="D486" s="5">
        <v>0</v>
      </c>
      <c r="E486" s="5">
        <v>0</v>
      </c>
      <c r="F486" s="5">
        <v>3261469.734375</v>
      </c>
      <c r="G486" s="3"/>
      <c r="H486" s="3"/>
      <c r="I486" s="3">
        <v>9</v>
      </c>
      <c r="J486" s="6" t="s">
        <v>986</v>
      </c>
      <c r="K486" s="6" t="s">
        <v>986</v>
      </c>
      <c r="L486" s="6">
        <v>8.6667974882260594</v>
      </c>
      <c r="M486" s="8">
        <f t="shared" si="14"/>
        <v>8.6667974882260594</v>
      </c>
      <c r="N486" s="1" t="e">
        <f t="shared" si="15"/>
        <v>#DIV/0!</v>
      </c>
    </row>
    <row r="487" spans="1:14" x14ac:dyDescent="0.25">
      <c r="A487" s="2" t="s">
        <v>971</v>
      </c>
      <c r="B487" s="2" t="s">
        <v>972</v>
      </c>
      <c r="C487" s="4">
        <v>11.6</v>
      </c>
      <c r="D487" s="5">
        <v>0</v>
      </c>
      <c r="E487" s="5">
        <v>0</v>
      </c>
      <c r="F487" s="5">
        <v>1694313</v>
      </c>
      <c r="G487" s="3"/>
      <c r="H487" s="3"/>
      <c r="I487" s="3">
        <v>3</v>
      </c>
      <c r="J487" s="6" t="s">
        <v>986</v>
      </c>
      <c r="K487" s="6" t="s">
        <v>986</v>
      </c>
      <c r="L487" s="6">
        <v>2.8889324960753533</v>
      </c>
      <c r="M487" s="8">
        <f t="shared" si="14"/>
        <v>2.8889324960753533</v>
      </c>
      <c r="N487" s="1" t="e">
        <f t="shared" si="15"/>
        <v>#DIV/0!</v>
      </c>
    </row>
    <row r="488" spans="1:14" x14ac:dyDescent="0.25">
      <c r="A488" s="2" t="s">
        <v>973</v>
      </c>
      <c r="B488" s="2" t="s">
        <v>974</v>
      </c>
      <c r="C488" s="4">
        <v>126.9</v>
      </c>
      <c r="D488" s="5">
        <v>1338954.25</v>
      </c>
      <c r="E488" s="5">
        <v>0</v>
      </c>
      <c r="F488" s="5">
        <v>0</v>
      </c>
      <c r="G488" s="3">
        <v>6</v>
      </c>
      <c r="H488" s="3"/>
      <c r="I488" s="3">
        <v>3</v>
      </c>
      <c r="J488" s="6">
        <v>6.406440382941688</v>
      </c>
      <c r="K488" s="6" t="s">
        <v>986</v>
      </c>
      <c r="L488" s="6">
        <v>2.8889324960753533</v>
      </c>
      <c r="M488" s="8">
        <f t="shared" si="14"/>
        <v>4.6476864395085205</v>
      </c>
      <c r="N488" s="1">
        <f t="shared" si="15"/>
        <v>2.4872536796803493</v>
      </c>
    </row>
    <row r="489" spans="1:14" x14ac:dyDescent="0.25">
      <c r="A489" s="2" t="s">
        <v>975</v>
      </c>
      <c r="B489" s="2" t="s">
        <v>976</v>
      </c>
      <c r="C489" s="4">
        <v>43.3</v>
      </c>
      <c r="D489" s="5">
        <v>634493.375</v>
      </c>
      <c r="E489" s="5">
        <v>0</v>
      </c>
      <c r="F489" s="5">
        <v>879725.1875</v>
      </c>
      <c r="G489" s="3">
        <v>2</v>
      </c>
      <c r="H489" s="3"/>
      <c r="I489" s="3">
        <v>2</v>
      </c>
      <c r="J489" s="6">
        <v>2.1354801276472295</v>
      </c>
      <c r="K489" s="6" t="s">
        <v>986</v>
      </c>
      <c r="L489" s="6">
        <v>1.925954997383569</v>
      </c>
      <c r="M489" s="8">
        <f t="shared" si="14"/>
        <v>2.0307175625153993</v>
      </c>
      <c r="N489" s="1">
        <f t="shared" si="15"/>
        <v>0.14815664043842905</v>
      </c>
    </row>
    <row r="490" spans="1:14" x14ac:dyDescent="0.25">
      <c r="A490" s="2" t="s">
        <v>977</v>
      </c>
      <c r="B490" s="2" t="s">
        <v>978</v>
      </c>
      <c r="C490" s="4">
        <v>84.6</v>
      </c>
      <c r="D490" s="5">
        <v>0</v>
      </c>
      <c r="E490" s="5">
        <v>0</v>
      </c>
      <c r="F490" s="5">
        <v>820919.3125</v>
      </c>
      <c r="G490" s="3"/>
      <c r="H490" s="3"/>
      <c r="I490" s="3">
        <v>2</v>
      </c>
      <c r="J490" s="6" t="s">
        <v>986</v>
      </c>
      <c r="K490" s="6" t="s">
        <v>986</v>
      </c>
      <c r="L490" s="6">
        <v>1.925954997383569</v>
      </c>
      <c r="M490" s="8">
        <f t="shared" si="14"/>
        <v>1.925954997383569</v>
      </c>
      <c r="N490" s="1" t="e">
        <f t="shared" si="15"/>
        <v>#DIV/0!</v>
      </c>
    </row>
    <row r="491" spans="1:14" x14ac:dyDescent="0.25">
      <c r="A491" s="2" t="s">
        <v>979</v>
      </c>
      <c r="B491" s="2" t="s">
        <v>980</v>
      </c>
      <c r="C491" s="4">
        <v>58.3</v>
      </c>
      <c r="D491" s="5">
        <v>0</v>
      </c>
      <c r="E491" s="5">
        <v>0</v>
      </c>
      <c r="F491" s="5">
        <v>514462.296875</v>
      </c>
      <c r="G491" s="3"/>
      <c r="H491" s="3"/>
      <c r="I491" s="3">
        <v>2</v>
      </c>
      <c r="J491" s="6" t="s">
        <v>986</v>
      </c>
      <c r="K491" s="6" t="s">
        <v>986</v>
      </c>
      <c r="L491" s="6">
        <v>1.925954997383569</v>
      </c>
      <c r="M491" s="8">
        <f t="shared" si="14"/>
        <v>1.925954997383569</v>
      </c>
      <c r="N491" s="1" t="e">
        <f t="shared" si="15"/>
        <v>#DIV/0!</v>
      </c>
    </row>
    <row r="492" spans="1:14" x14ac:dyDescent="0.25">
      <c r="A492" s="2" t="s">
        <v>981</v>
      </c>
      <c r="B492" s="2" t="s">
        <v>982</v>
      </c>
      <c r="C492" s="4">
        <v>86.4</v>
      </c>
      <c r="D492" s="5">
        <v>0</v>
      </c>
      <c r="E492" s="5">
        <v>0</v>
      </c>
      <c r="F492" s="5">
        <v>0</v>
      </c>
      <c r="G492" s="3"/>
      <c r="H492" s="3"/>
      <c r="I492" s="3">
        <v>5</v>
      </c>
      <c r="J492" s="6" t="s">
        <v>986</v>
      </c>
      <c r="K492" s="6" t="s">
        <v>986</v>
      </c>
      <c r="L492" s="6">
        <v>4.8148874934589223</v>
      </c>
      <c r="M492" s="8">
        <f t="shared" si="14"/>
        <v>4.8148874934589223</v>
      </c>
      <c r="N492" s="1" t="e">
        <f t="shared" si="15"/>
        <v>#DIV/0!</v>
      </c>
    </row>
  </sheetData>
  <mergeCells count="3">
    <mergeCell ref="D1:F1"/>
    <mergeCell ref="G1:I1"/>
    <mergeCell ref="J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Kale</vt:lpstr>
      <vt:lpstr>Ginger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OmicsLab01</dc:creator>
  <cp:lastModifiedBy>Chao Yuan Chang</cp:lastModifiedBy>
  <dcterms:created xsi:type="dcterms:W3CDTF">2025-10-02T06:05:29Z</dcterms:created>
  <dcterms:modified xsi:type="dcterms:W3CDTF">2025-11-04T01:48:59Z</dcterms:modified>
</cp:coreProperties>
</file>