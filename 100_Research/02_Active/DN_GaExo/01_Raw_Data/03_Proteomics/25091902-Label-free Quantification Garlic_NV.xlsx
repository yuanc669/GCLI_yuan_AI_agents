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01計畫結果\Proteomics Results\01RAW data\Plant Exosome\"/>
    </mc:Choice>
  </mc:AlternateContent>
  <xr:revisionPtr revIDLastSave="0" documentId="13_ncr:1_{8A434E09-62C3-450E-9B88-D728053D57F1}" xr6:coauthVersionLast="47" xr6:coauthVersionMax="47" xr10:uidLastSave="{00000000-0000-0000-0000-000000000000}"/>
  <bookViews>
    <workbookView xWindow="-108" yWindow="-108" windowWidth="23256" windowHeight="12456" xr2:uid="{00000000-000D-0000-FFFF-FFFF00000000}"/>
  </bookViews>
  <sheets>
    <sheet name="mer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3" i="1"/>
</calcChain>
</file>

<file path=xl/sharedStrings.xml><?xml version="1.0" encoding="utf-8"?>
<sst xmlns="http://schemas.openxmlformats.org/spreadsheetml/2006/main" count="1610" uniqueCount="1186">
  <si>
    <t>Accession</t>
  </si>
  <si>
    <t>Description</t>
  </si>
  <si>
    <t>MW [kDa]</t>
  </si>
  <si>
    <t>Area</t>
  </si>
  <si>
    <t># PSM</t>
  </si>
  <si>
    <t>Unnamed: 7</t>
  </si>
  <si>
    <t>Unnamed: 8</t>
  </si>
  <si>
    <t>Normalized PSM</t>
  </si>
  <si>
    <t>Unnamed: 10</t>
  </si>
  <si>
    <t>Unnamed: 11</t>
  </si>
  <si>
    <t>Asa8G05233.1</t>
  </si>
  <si>
    <t>Asa8G05174.1</t>
  </si>
  <si>
    <t>Asa8G04956.1</t>
  </si>
  <si>
    <t>Asa8G04922.1</t>
  </si>
  <si>
    <t>Asa8G04886.1</t>
  </si>
  <si>
    <t>Asa8G04879.1</t>
  </si>
  <si>
    <t>Asa8G04874.1</t>
  </si>
  <si>
    <t>Asa8G04868.1</t>
  </si>
  <si>
    <t>Asa8G04810.1</t>
  </si>
  <si>
    <t>Asa8G04656.1</t>
  </si>
  <si>
    <t>Asa8G04655.1</t>
  </si>
  <si>
    <t>Asa8G04473.1</t>
  </si>
  <si>
    <t>Asa8G04423.1</t>
  </si>
  <si>
    <t>Asa8G03847.1</t>
  </si>
  <si>
    <t>Asa8G03368.1</t>
  </si>
  <si>
    <t>Asa8G03357.1</t>
  </si>
  <si>
    <t>Asa8G03353.1</t>
  </si>
  <si>
    <t>Asa8G03348.1</t>
  </si>
  <si>
    <t>Asa8G03116.1</t>
  </si>
  <si>
    <t>Asa8G03059.1</t>
  </si>
  <si>
    <t>Asa8G02720.1</t>
  </si>
  <si>
    <t>Asa8G02600.1</t>
  </si>
  <si>
    <t>Asa8G02586.1</t>
  </si>
  <si>
    <t>Asa8G02265.1</t>
  </si>
  <si>
    <t>Asa8G02224.1</t>
  </si>
  <si>
    <t>Asa8G02165.1</t>
  </si>
  <si>
    <t>Asa8G02124.1</t>
  </si>
  <si>
    <t>Asa8G01986.1</t>
  </si>
  <si>
    <t>Asa8G01979.1</t>
  </si>
  <si>
    <t>Asa8G01973.1</t>
  </si>
  <si>
    <t>Asa8G01493.1</t>
  </si>
  <si>
    <t>Asa8G01429.1</t>
  </si>
  <si>
    <t>Asa8G01383.1</t>
  </si>
  <si>
    <t>Asa8G01165.1</t>
  </si>
  <si>
    <t>Asa8G00911.1</t>
  </si>
  <si>
    <t>Asa8G00815.1</t>
  </si>
  <si>
    <t>Asa8G00777.1</t>
  </si>
  <si>
    <t>Asa8G00759.1</t>
  </si>
  <si>
    <t>Asa8G00639.1</t>
  </si>
  <si>
    <t>Asa8G00633.1</t>
  </si>
  <si>
    <t>Asa8G00467.1</t>
  </si>
  <si>
    <t>Asa8G00224.1</t>
  </si>
  <si>
    <t>Asa8G00203.1</t>
  </si>
  <si>
    <t>Asa7G06389.1</t>
  </si>
  <si>
    <t>Asa7G06018.1</t>
  </si>
  <si>
    <t>Asa7G05851.1</t>
  </si>
  <si>
    <t>Asa7G05842.1</t>
  </si>
  <si>
    <t>Asa7G05762.1</t>
  </si>
  <si>
    <t>Asa7G05754.1</t>
  </si>
  <si>
    <t>Asa7G05595.1</t>
  </si>
  <si>
    <t>Asa7G05513.1</t>
  </si>
  <si>
    <t>Asa7G05459.1</t>
  </si>
  <si>
    <t>Asa7G05456.1</t>
  </si>
  <si>
    <t>Asa7G05442.1</t>
  </si>
  <si>
    <t>Asa7G05400.1</t>
  </si>
  <si>
    <t>Asa7G05399.1</t>
  </si>
  <si>
    <t>Asa7G05356.1</t>
  </si>
  <si>
    <t>Asa7G05112.1</t>
  </si>
  <si>
    <t>Asa7G05082.1</t>
  </si>
  <si>
    <t>Asa7G05081.1</t>
  </si>
  <si>
    <t>Asa7G05072.1</t>
  </si>
  <si>
    <t>Asa7G05038.1</t>
  </si>
  <si>
    <t>Asa7G04800.1</t>
  </si>
  <si>
    <t>Asa7G04605.1</t>
  </si>
  <si>
    <t>Asa7G04600.1</t>
  </si>
  <si>
    <t>Asa7G04554.1</t>
  </si>
  <si>
    <t>Asa7G04351.1</t>
  </si>
  <si>
    <t>Asa7G04031.1</t>
  </si>
  <si>
    <t>Asa7G03985.1</t>
  </si>
  <si>
    <t>Asa7G03623.1</t>
  </si>
  <si>
    <t>Asa7G03604.1</t>
  </si>
  <si>
    <t>Asa7G03499.1</t>
  </si>
  <si>
    <t>Asa7G03465.1</t>
  </si>
  <si>
    <t>Asa7G03432.1</t>
  </si>
  <si>
    <t>Asa7G03412.1</t>
  </si>
  <si>
    <t>Asa7G03348.1</t>
  </si>
  <si>
    <t>Asa7G03280.1</t>
  </si>
  <si>
    <t>Asa7G03183.1</t>
  </si>
  <si>
    <t>Asa7G03127.1</t>
  </si>
  <si>
    <t>Asa7G03085.1</t>
  </si>
  <si>
    <t>Asa7G02893.1</t>
  </si>
  <si>
    <t>Asa7G02884.1</t>
  </si>
  <si>
    <t>Asa7G02865.1</t>
  </si>
  <si>
    <t>Asa7G02779.1</t>
  </si>
  <si>
    <t>Asa7G02747.1</t>
  </si>
  <si>
    <t>Asa7G02725.1</t>
  </si>
  <si>
    <t>Asa7G02712.1</t>
  </si>
  <si>
    <t>Asa7G02585.1</t>
  </si>
  <si>
    <t>Asa7G02487.1</t>
  </si>
  <si>
    <t>Asa7G02444.1</t>
  </si>
  <si>
    <t>Asa7G01921.1</t>
  </si>
  <si>
    <t>Asa7G01506.1</t>
  </si>
  <si>
    <t>Asa7G01475.1</t>
  </si>
  <si>
    <t>Asa7G01461.1</t>
  </si>
  <si>
    <t>Asa7G00817.1</t>
  </si>
  <si>
    <t>Asa7G00801.1</t>
  </si>
  <si>
    <t>Asa7G00213.1</t>
  </si>
  <si>
    <t>Asa7G00196.1</t>
  </si>
  <si>
    <t>Asa7G00170.1</t>
  </si>
  <si>
    <t>Asa6G07873.1</t>
  </si>
  <si>
    <t>Asa6G07863.1</t>
  </si>
  <si>
    <t>Asa6G07855.1</t>
  </si>
  <si>
    <t>Asa6G07840.1</t>
  </si>
  <si>
    <t>Asa6G07822.1</t>
  </si>
  <si>
    <t>Asa6G07819.1</t>
  </si>
  <si>
    <t>Asa6G07587.1</t>
  </si>
  <si>
    <t>Asa6G07276.1</t>
  </si>
  <si>
    <t>Asa6G07255.1</t>
  </si>
  <si>
    <t>Asa6G07138.1</t>
  </si>
  <si>
    <t>Asa6G06997.1</t>
  </si>
  <si>
    <t>Asa6G06918.1</t>
  </si>
  <si>
    <t>Asa6G06917.1</t>
  </si>
  <si>
    <t>Asa6G06808.1</t>
  </si>
  <si>
    <t>Asa6G06727.1</t>
  </si>
  <si>
    <t>Asa6G06614.1</t>
  </si>
  <si>
    <t>Asa6G06517.1</t>
  </si>
  <si>
    <t>Asa6G06460.1</t>
  </si>
  <si>
    <t>Asa6G06193.1</t>
  </si>
  <si>
    <t>Asa6G06145.1</t>
  </si>
  <si>
    <t>Asa6G05592.1</t>
  </si>
  <si>
    <t>Asa6G05459.1</t>
  </si>
  <si>
    <t>Asa6G05408.1</t>
  </si>
  <si>
    <t>Asa6G05288.1</t>
  </si>
  <si>
    <t>Asa6G05186.1</t>
  </si>
  <si>
    <t>Asa6G05114.1</t>
  </si>
  <si>
    <t>Asa6G05103.1</t>
  </si>
  <si>
    <t>Asa6G05029.1</t>
  </si>
  <si>
    <t>Asa6G04688.1</t>
  </si>
  <si>
    <t>Asa6G04656.1</t>
  </si>
  <si>
    <t>Asa6G04396.1</t>
  </si>
  <si>
    <t>Asa6G04391.1</t>
  </si>
  <si>
    <t>Asa6G04355.1</t>
  </si>
  <si>
    <t>Asa6G04334.1</t>
  </si>
  <si>
    <t>Asa6G04110.1</t>
  </si>
  <si>
    <t>Asa6G04036.1</t>
  </si>
  <si>
    <t>Asa6G04009.1</t>
  </si>
  <si>
    <t>Asa6G03950.1</t>
  </si>
  <si>
    <t>Asa6G03826.1</t>
  </si>
  <si>
    <t>Asa6G03816.1</t>
  </si>
  <si>
    <t>Asa6G03670.1</t>
  </si>
  <si>
    <t>Asa6G03517.1</t>
  </si>
  <si>
    <t>Asa6G03278.1</t>
  </si>
  <si>
    <t>Asa6G03156.1</t>
  </si>
  <si>
    <t>Asa6G03080.1</t>
  </si>
  <si>
    <t>Asa6G02822.1</t>
  </si>
  <si>
    <t>Asa6G02786.1</t>
  </si>
  <si>
    <t>Asa6G02535.1</t>
  </si>
  <si>
    <t>Asa6G02440.1</t>
  </si>
  <si>
    <t>Asa6G02371.1</t>
  </si>
  <si>
    <t>Asa6G02280.1</t>
  </si>
  <si>
    <t>Asa6G02127.1</t>
  </si>
  <si>
    <t>Asa6G02113.1</t>
  </si>
  <si>
    <t>Asa6G02051.1</t>
  </si>
  <si>
    <t>Asa6G02005.1</t>
  </si>
  <si>
    <t>Asa6G01972.1</t>
  </si>
  <si>
    <t>Asa6G01932.1</t>
  </si>
  <si>
    <t>Asa6G01773.1</t>
  </si>
  <si>
    <t>Asa6G01749.1</t>
  </si>
  <si>
    <t>Asa6G01748.1</t>
  </si>
  <si>
    <t>Asa6G01745.1</t>
  </si>
  <si>
    <t>Asa6G01722.1</t>
  </si>
  <si>
    <t>Asa6G01694.1</t>
  </si>
  <si>
    <t>Asa6G01680.1</t>
  </si>
  <si>
    <t>Asa6G01671.1</t>
  </si>
  <si>
    <t>Asa6G01649.1</t>
  </si>
  <si>
    <t>Asa6G01600.1</t>
  </si>
  <si>
    <t>Asa6G01520.1</t>
  </si>
  <si>
    <t>Asa6G01415.1</t>
  </si>
  <si>
    <t>Asa6G01267.1</t>
  </si>
  <si>
    <t>Asa6G01101.1</t>
  </si>
  <si>
    <t>Asa6G01077.1</t>
  </si>
  <si>
    <t>Asa6G01053.1</t>
  </si>
  <si>
    <t>Asa6G00883.1</t>
  </si>
  <si>
    <t>Asa6G00785.1</t>
  </si>
  <si>
    <t>Asa6G00770.1</t>
  </si>
  <si>
    <t>Asa6G00597.1</t>
  </si>
  <si>
    <t>Asa6G00592.1</t>
  </si>
  <si>
    <t>Asa6G00514.1</t>
  </si>
  <si>
    <t>Asa6G00485.1</t>
  </si>
  <si>
    <t>Asa6G00334.1</t>
  </si>
  <si>
    <t>Asa6G00295.1</t>
  </si>
  <si>
    <t>Asa6G00281.1</t>
  </si>
  <si>
    <t>Asa6G00040.1</t>
  </si>
  <si>
    <t>Asa5G06896.1</t>
  </si>
  <si>
    <t>Asa5G06895.1</t>
  </si>
  <si>
    <t>Asa5G06872.1</t>
  </si>
  <si>
    <t>Asa5G06837.1</t>
  </si>
  <si>
    <t>Asa5G06746.1</t>
  </si>
  <si>
    <t>Asa5G06739.1</t>
  </si>
  <si>
    <t>Asa5G06644.1</t>
  </si>
  <si>
    <t>Asa5G06585.1</t>
  </si>
  <si>
    <t>Asa5G06504.1</t>
  </si>
  <si>
    <t>Asa5G06470.1</t>
  </si>
  <si>
    <t>Asa5G06418.1</t>
  </si>
  <si>
    <t>Asa5G06378.1</t>
  </si>
  <si>
    <t>Asa5G06319.1</t>
  </si>
  <si>
    <t>Asa5G06305.1</t>
  </si>
  <si>
    <t>Asa5G06283.1</t>
  </si>
  <si>
    <t>Asa5G06279.1</t>
  </si>
  <si>
    <t>Asa5G06268.1</t>
  </si>
  <si>
    <t>Asa5G06153.1</t>
  </si>
  <si>
    <t>Asa5G06128.1</t>
  </si>
  <si>
    <t>Asa5G06119.1</t>
  </si>
  <si>
    <t>Asa5G06013.1</t>
  </si>
  <si>
    <t>Asa5G05994.1</t>
  </si>
  <si>
    <t>Asa5G05901.1</t>
  </si>
  <si>
    <t>Asa5G05876.1</t>
  </si>
  <si>
    <t>Asa5G05839.1</t>
  </si>
  <si>
    <t>Asa5G05820.1</t>
  </si>
  <si>
    <t>Asa5G05755.1</t>
  </si>
  <si>
    <t>Asa5G05640.1</t>
  </si>
  <si>
    <t>Asa5G05514.1</t>
  </si>
  <si>
    <t>Asa5G05302.1</t>
  </si>
  <si>
    <t>Asa5G05297.1</t>
  </si>
  <si>
    <t>Asa5G05292.1</t>
  </si>
  <si>
    <t>Asa5G05145.1</t>
  </si>
  <si>
    <t>Asa5G05144.1</t>
  </si>
  <si>
    <t>Asa5G04943.1</t>
  </si>
  <si>
    <t>Asa5G04926.1</t>
  </si>
  <si>
    <t>Asa5G04884.1</t>
  </si>
  <si>
    <t>Asa5G04856.1</t>
  </si>
  <si>
    <t>Asa5G04821.1</t>
  </si>
  <si>
    <t>Asa5G04738.1</t>
  </si>
  <si>
    <t>Asa5G04471.1</t>
  </si>
  <si>
    <t>Asa5G04367.1</t>
  </si>
  <si>
    <t>Asa5G04181.1</t>
  </si>
  <si>
    <t>Asa5G04169.1</t>
  </si>
  <si>
    <t>Asa5G04112.1</t>
  </si>
  <si>
    <t>Asa5G04090.1</t>
  </si>
  <si>
    <t>Asa5G03690.1</t>
  </si>
  <si>
    <t>Asa5G03642.1</t>
  </si>
  <si>
    <t>Asa5G03376.1</t>
  </si>
  <si>
    <t>Asa5G03296.1</t>
  </si>
  <si>
    <t>Asa5G03172.1</t>
  </si>
  <si>
    <t>Asa5G02961.1</t>
  </si>
  <si>
    <t>Asa5G02891.1</t>
  </si>
  <si>
    <t>Asa5G02877.1</t>
  </si>
  <si>
    <t>Asa5G02812.1</t>
  </si>
  <si>
    <t>Asa5G02324.1</t>
  </si>
  <si>
    <t>Asa5G02206.1</t>
  </si>
  <si>
    <t>Asa5G02134.1</t>
  </si>
  <si>
    <t>Asa5G02015.1</t>
  </si>
  <si>
    <t>Asa5G01939.1</t>
  </si>
  <si>
    <t>Asa5G01920.1</t>
  </si>
  <si>
    <t>Asa5G01916.1</t>
  </si>
  <si>
    <t>Asa5G01911.1</t>
  </si>
  <si>
    <t>Asa5G01848.1</t>
  </si>
  <si>
    <t>Asa5G01784.1</t>
  </si>
  <si>
    <t>Asa5G01682.1</t>
  </si>
  <si>
    <t>Asa5G01655.1</t>
  </si>
  <si>
    <t>Asa5G01616.1</t>
  </si>
  <si>
    <t>Asa5G01576.1</t>
  </si>
  <si>
    <t>Asa5G01551.1</t>
  </si>
  <si>
    <t>Asa5G01527.1</t>
  </si>
  <si>
    <t>Asa5G01407.1</t>
  </si>
  <si>
    <t>Asa5G01216.1</t>
  </si>
  <si>
    <t>Asa5G01163.1</t>
  </si>
  <si>
    <t>Asa5G01128.1</t>
  </si>
  <si>
    <t>Asa5G00875.1</t>
  </si>
  <si>
    <t>Asa5G00866.1</t>
  </si>
  <si>
    <t>Asa5G00679.1</t>
  </si>
  <si>
    <t>Asa5G00660.1</t>
  </si>
  <si>
    <t>Asa5G00608.1</t>
  </si>
  <si>
    <t>Asa5G00606.1</t>
  </si>
  <si>
    <t>Asa5G00604.1</t>
  </si>
  <si>
    <t>Asa5G00601.1</t>
  </si>
  <si>
    <t>Asa5G00395.1</t>
  </si>
  <si>
    <t>Asa5G00295.1</t>
  </si>
  <si>
    <t>Asa5G00240.1</t>
  </si>
  <si>
    <t>Asa5G00193.1</t>
  </si>
  <si>
    <t>Asa5G00018.1</t>
  </si>
  <si>
    <t>Asa4G05949.1</t>
  </si>
  <si>
    <t>Asa4G05928.1</t>
  </si>
  <si>
    <t>Asa4G05609.1</t>
  </si>
  <si>
    <t>Asa4G05320.1</t>
  </si>
  <si>
    <t>Asa4G05306.1</t>
  </si>
  <si>
    <t>Asa4G05184.1</t>
  </si>
  <si>
    <t>Asa4G04796.1</t>
  </si>
  <si>
    <t>Asa4G04548.1</t>
  </si>
  <si>
    <t>Asa4G04491.1</t>
  </si>
  <si>
    <t>Asa4G04384.1</t>
  </si>
  <si>
    <t>Asa4G04198.1</t>
  </si>
  <si>
    <t>Asa4G04172.1</t>
  </si>
  <si>
    <t>Asa4G04169.1</t>
  </si>
  <si>
    <t>Asa4G04099.1</t>
  </si>
  <si>
    <t>Asa4G03941.1</t>
  </si>
  <si>
    <t>Asa4G03901.1</t>
  </si>
  <si>
    <t>Asa4G03827.1</t>
  </si>
  <si>
    <t>Asa4G03813.1</t>
  </si>
  <si>
    <t>Asa4G03810.1</t>
  </si>
  <si>
    <t>Asa4G03694.1</t>
  </si>
  <si>
    <t>Asa4G03640.1</t>
  </si>
  <si>
    <t>Asa4G03630.1</t>
  </si>
  <si>
    <t>Asa4G03382.1</t>
  </si>
  <si>
    <t>Asa4G03012.1</t>
  </si>
  <si>
    <t>Asa4G02725.1</t>
  </si>
  <si>
    <t>Asa4G02685.1</t>
  </si>
  <si>
    <t>Asa4G02684.1</t>
  </si>
  <si>
    <t>Asa4G02261.1</t>
  </si>
  <si>
    <t>Asa4G02200.1</t>
  </si>
  <si>
    <t>Asa4G02032.1</t>
  </si>
  <si>
    <t>Asa4G01935.1</t>
  </si>
  <si>
    <t>Asa4G01893.1</t>
  </si>
  <si>
    <t>Asa4G01780.1</t>
  </si>
  <si>
    <t>Asa4G01744.1</t>
  </si>
  <si>
    <t>Asa4G01707.1</t>
  </si>
  <si>
    <t>Asa4G01607.1</t>
  </si>
  <si>
    <t>Asa4G01482.1</t>
  </si>
  <si>
    <t>Asa4G01303.1</t>
  </si>
  <si>
    <t>Asa4G01216.1</t>
  </si>
  <si>
    <t>Asa4G00483.1</t>
  </si>
  <si>
    <t>Asa4G00155.1</t>
  </si>
  <si>
    <t>Asa4G00112.1</t>
  </si>
  <si>
    <t>Asa3G07070.1</t>
  </si>
  <si>
    <t>Asa3G06939.1</t>
  </si>
  <si>
    <t>Asa3G06827.1</t>
  </si>
  <si>
    <t>Asa3G06826.1</t>
  </si>
  <si>
    <t>Asa3G06745.1</t>
  </si>
  <si>
    <t>Asa3G06737.1</t>
  </si>
  <si>
    <t>Asa3G06679.1</t>
  </si>
  <si>
    <t>Asa3G06385.1</t>
  </si>
  <si>
    <t>Asa3G06298.1</t>
  </si>
  <si>
    <t>Asa3G06272.1</t>
  </si>
  <si>
    <t>Asa3G06227.1</t>
  </si>
  <si>
    <t>Asa3G06104.1</t>
  </si>
  <si>
    <t>Asa3G06039.1</t>
  </si>
  <si>
    <t>Asa3G06037.1</t>
  </si>
  <si>
    <t>Asa3G06036.1</t>
  </si>
  <si>
    <t>Asa3G05852.1</t>
  </si>
  <si>
    <t>Asa3G05850.1</t>
  </si>
  <si>
    <t>Asa3G05676.1</t>
  </si>
  <si>
    <t>Asa3G05675.1</t>
  </si>
  <si>
    <t>Asa3G05661.1</t>
  </si>
  <si>
    <t>Asa3G05597.1</t>
  </si>
  <si>
    <t>Asa3G05517.1</t>
  </si>
  <si>
    <t>Asa3G05383.1</t>
  </si>
  <si>
    <t>Asa3G05365.1</t>
  </si>
  <si>
    <t>Asa3G05176.1</t>
  </si>
  <si>
    <t>Asa3G05136.1</t>
  </si>
  <si>
    <t>Asa3G05076.1</t>
  </si>
  <si>
    <t>Asa3G05058.1</t>
  </si>
  <si>
    <t>Asa3G04967.1</t>
  </si>
  <si>
    <t>Asa3G04893.1</t>
  </si>
  <si>
    <t>Asa3G04892.1</t>
  </si>
  <si>
    <t>Asa3G04726.1</t>
  </si>
  <si>
    <t>Asa3G04692.1</t>
  </si>
  <si>
    <t>Asa3G04661.1</t>
  </si>
  <si>
    <t>Asa3G04425.1</t>
  </si>
  <si>
    <t>Asa3G04307.1</t>
  </si>
  <si>
    <t>Asa3G04242.1</t>
  </si>
  <si>
    <t>Asa3G04168.1</t>
  </si>
  <si>
    <t>Asa3G03759.1</t>
  </si>
  <si>
    <t>Asa3G03659.1</t>
  </si>
  <si>
    <t>Asa3G03509.1</t>
  </si>
  <si>
    <t>Asa3G03438.1</t>
  </si>
  <si>
    <t>Asa3G03257.1</t>
  </si>
  <si>
    <t>Asa3G03199.1</t>
  </si>
  <si>
    <t>Asa3G03153.1</t>
  </si>
  <si>
    <t>Asa3G03119.1</t>
  </si>
  <si>
    <t>Asa3G03082.1</t>
  </si>
  <si>
    <t>Asa3G03035.1</t>
  </si>
  <si>
    <t>Asa3G02966.1</t>
  </si>
  <si>
    <t>Asa3G02952.1</t>
  </si>
  <si>
    <t>Asa3G02747.1</t>
  </si>
  <si>
    <t>Asa3G02545.1</t>
  </si>
  <si>
    <t>Asa3G02522.1</t>
  </si>
  <si>
    <t>Asa3G02451.1</t>
  </si>
  <si>
    <t>Asa3G02450.1</t>
  </si>
  <si>
    <t>Asa3G02418.1</t>
  </si>
  <si>
    <t>Asa3G01943.1</t>
  </si>
  <si>
    <t>Asa3G01896.1</t>
  </si>
  <si>
    <t>Asa3G01811.1</t>
  </si>
  <si>
    <t>Asa3G01785.1</t>
  </si>
  <si>
    <t>Asa3G01778.1</t>
  </si>
  <si>
    <t>Asa3G01766.1</t>
  </si>
  <si>
    <t>Asa3G01530.1</t>
  </si>
  <si>
    <t>Asa3G01510.1</t>
  </si>
  <si>
    <t>Asa3G01493.1</t>
  </si>
  <si>
    <t>Asa3G01385.1</t>
  </si>
  <si>
    <t>Asa3G01347.1</t>
  </si>
  <si>
    <t>Asa3G01315.1</t>
  </si>
  <si>
    <t>Asa3G01167.1</t>
  </si>
  <si>
    <t>Asa3G01163.1</t>
  </si>
  <si>
    <t>Asa3G00601.1</t>
  </si>
  <si>
    <t>Asa3G00574.1</t>
  </si>
  <si>
    <t>Asa3G00465.1</t>
  </si>
  <si>
    <t>Asa3G00439.1</t>
  </si>
  <si>
    <t>Asa2G04848.1</t>
  </si>
  <si>
    <t>Asa2G04670.1</t>
  </si>
  <si>
    <t>Asa2G04549.1</t>
  </si>
  <si>
    <t>Asa2G04385.1</t>
  </si>
  <si>
    <t>Asa2G04363.1</t>
  </si>
  <si>
    <t>Asa2G04358.1</t>
  </si>
  <si>
    <t>Asa2G04313.1</t>
  </si>
  <si>
    <t>Asa2G04269.1</t>
  </si>
  <si>
    <t>Asa2G04260.1</t>
  </si>
  <si>
    <t>Asa2G04212.1</t>
  </si>
  <si>
    <t>Asa2G04002.1</t>
  </si>
  <si>
    <t>Asa2G03773.1</t>
  </si>
  <si>
    <t>Asa2G03690.1</t>
  </si>
  <si>
    <t>Asa2G03608.1</t>
  </si>
  <si>
    <t>Asa2G03607.1</t>
  </si>
  <si>
    <t>Asa2G03602.1</t>
  </si>
  <si>
    <t>Asa2G03499.1</t>
  </si>
  <si>
    <t>Asa2G02672.1</t>
  </si>
  <si>
    <t>Asa2G02592.1</t>
  </si>
  <si>
    <t>Asa2G02475.1</t>
  </si>
  <si>
    <t>Asa2G02472.1</t>
  </si>
  <si>
    <t>Asa2G02219.1</t>
  </si>
  <si>
    <t>Asa2G02058.1</t>
  </si>
  <si>
    <t>Asa2G02009.1</t>
  </si>
  <si>
    <t>Asa2G01789.1</t>
  </si>
  <si>
    <t>Asa2G01706.1</t>
  </si>
  <si>
    <t>Asa2G01661.1</t>
  </si>
  <si>
    <t>Asa2G01637.1</t>
  </si>
  <si>
    <t>Asa2G01482.1</t>
  </si>
  <si>
    <t>Asa2G01454.1</t>
  </si>
  <si>
    <t>Asa2G01312.1</t>
  </si>
  <si>
    <t>Asa2G01310.1</t>
  </si>
  <si>
    <t>Asa2G01286.1</t>
  </si>
  <si>
    <t>Asa2G01176.1</t>
  </si>
  <si>
    <t>Asa2G01008.1</t>
  </si>
  <si>
    <t>Asa2G00937.1</t>
  </si>
  <si>
    <t>Asa2G00799.1</t>
  </si>
  <si>
    <t>Asa2G00643.1</t>
  </si>
  <si>
    <t>Asa2G00509.1</t>
  </si>
  <si>
    <t>Asa2G00471.1</t>
  </si>
  <si>
    <t>Asa2G00312.1</t>
  </si>
  <si>
    <t>Asa2G00281.1</t>
  </si>
  <si>
    <t>Asa2G00273.1</t>
  </si>
  <si>
    <t>Asa2G00221.1</t>
  </si>
  <si>
    <t>Asa2G00088.1</t>
  </si>
  <si>
    <t>Asa1G06534.1</t>
  </si>
  <si>
    <t>Asa1G06292.1</t>
  </si>
  <si>
    <t>Asa1G06218.1</t>
  </si>
  <si>
    <t>Asa1G06061.1</t>
  </si>
  <si>
    <t>Asa1G05992.1</t>
  </si>
  <si>
    <t>Asa1G05981.1</t>
  </si>
  <si>
    <t>Asa1G05783.1</t>
  </si>
  <si>
    <t>Asa1G05607.1</t>
  </si>
  <si>
    <t>Asa1G05576.1</t>
  </si>
  <si>
    <t>Asa1G05525.1</t>
  </si>
  <si>
    <t>Asa1G05523.1</t>
  </si>
  <si>
    <t>Asa1G05516.1</t>
  </si>
  <si>
    <t>Asa1G05451.1</t>
  </si>
  <si>
    <t>Asa1G05353.1</t>
  </si>
  <si>
    <t>Asa1G05298.1</t>
  </si>
  <si>
    <t>Asa1G05280.1</t>
  </si>
  <si>
    <t>Asa1G05107.1</t>
  </si>
  <si>
    <t>Asa1G05093.1</t>
  </si>
  <si>
    <t>Asa1G05058.1</t>
  </si>
  <si>
    <t>Asa1G04924.1</t>
  </si>
  <si>
    <t>Asa1G04701.1</t>
  </si>
  <si>
    <t>Asa1G04698.1</t>
  </si>
  <si>
    <t>Asa1G04539.1</t>
  </si>
  <si>
    <t>Asa1G04095.1</t>
  </si>
  <si>
    <t>Asa1G03915.1</t>
  </si>
  <si>
    <t>Asa1G03845.1</t>
  </si>
  <si>
    <t>Asa1G03837.1</t>
  </si>
  <si>
    <t>Asa1G03822.1</t>
  </si>
  <si>
    <t>Asa1G03711.1</t>
  </si>
  <si>
    <t>Asa1G03646.1</t>
  </si>
  <si>
    <t>Asa1G03541.1</t>
  </si>
  <si>
    <t>Asa1G03500.1</t>
  </si>
  <si>
    <t>Asa1G03466.1</t>
  </si>
  <si>
    <t>Asa1G03376.1</t>
  </si>
  <si>
    <t>Asa1G03367.1</t>
  </si>
  <si>
    <t>Asa1G03302.1</t>
  </si>
  <si>
    <t>Asa1G03292.1</t>
  </si>
  <si>
    <t>Asa1G03267.1</t>
  </si>
  <si>
    <t>Asa1G03234.1</t>
  </si>
  <si>
    <t>Asa1G03125.1</t>
  </si>
  <si>
    <t>Asa1G03101.1</t>
  </si>
  <si>
    <t>Asa1G03098.1</t>
  </si>
  <si>
    <t>Asa1G02989.1</t>
  </si>
  <si>
    <t>Asa1G02912.1</t>
  </si>
  <si>
    <t>Asa1G02802.1</t>
  </si>
  <si>
    <t>Asa1G02775.1</t>
  </si>
  <si>
    <t>Asa1G02772.1</t>
  </si>
  <si>
    <t>Asa1G02750.1</t>
  </si>
  <si>
    <t>Asa1G02669.1</t>
  </si>
  <si>
    <t>Asa1G02658.1</t>
  </si>
  <si>
    <t>Asa1G02522.1</t>
  </si>
  <si>
    <t>Asa1G02302.1</t>
  </si>
  <si>
    <t>Asa1G02202.1</t>
  </si>
  <si>
    <t>Asa1G02123.1</t>
  </si>
  <si>
    <t>Asa1G01938.1</t>
  </si>
  <si>
    <t>Asa1G01916.1</t>
  </si>
  <si>
    <t>Asa1G01884.1</t>
  </si>
  <si>
    <t>Asa1G01872.1</t>
  </si>
  <si>
    <t>Asa1G01805.1</t>
  </si>
  <si>
    <t>Asa1G01672.1</t>
  </si>
  <si>
    <t>Asa1G01555.1</t>
  </si>
  <si>
    <t>Asa1G01415.1</t>
  </si>
  <si>
    <t>Asa1G01405.1</t>
  </si>
  <si>
    <t>Asa1G01402.1</t>
  </si>
  <si>
    <t>Asa1G01331.1</t>
  </si>
  <si>
    <t>Asa1G01177.1</t>
  </si>
  <si>
    <t>Asa1G01164.1</t>
  </si>
  <si>
    <t>Asa1G01116.1</t>
  </si>
  <si>
    <t>Asa1G01106.1</t>
  </si>
  <si>
    <t>Asa1G01070.1</t>
  </si>
  <si>
    <t>Asa1G00923.1</t>
  </si>
  <si>
    <t>Asa1G00821.1</t>
  </si>
  <si>
    <t>Asa1G00747.1</t>
  </si>
  <si>
    <t>Asa1G00607.1</t>
  </si>
  <si>
    <t>Asa1G00586.1</t>
  </si>
  <si>
    <t>Asa1G00578.1</t>
  </si>
  <si>
    <t>Asa1G00476.1</t>
  </si>
  <si>
    <t>Asa1G00444.1</t>
  </si>
  <si>
    <t>Asa1G00003.1</t>
  </si>
  <si>
    <t>Asa0G05964.1</t>
  </si>
  <si>
    <t>Asa0G05863.1</t>
  </si>
  <si>
    <t>Asa0G05722.1</t>
  </si>
  <si>
    <t>Asa0G05453.1</t>
  </si>
  <si>
    <t>Asa0G05403.1</t>
  </si>
  <si>
    <t>Asa0G05331.1</t>
  </si>
  <si>
    <t>Asa0G05269.1</t>
  </si>
  <si>
    <t>Asa0G05201.1</t>
  </si>
  <si>
    <t>Asa0G05029.1</t>
  </si>
  <si>
    <t>Asa0G04818.1</t>
  </si>
  <si>
    <t>Asa0G04806.1</t>
  </si>
  <si>
    <t>Asa0G04658.1</t>
  </si>
  <si>
    <t>Asa0G04635.1</t>
  </si>
  <si>
    <t>Asa0G04599.1</t>
  </si>
  <si>
    <t>Asa0G04554.1</t>
  </si>
  <si>
    <t>Asa0G04522.1</t>
  </si>
  <si>
    <t>Asa0G04183.1</t>
  </si>
  <si>
    <t>Asa0G04047.1</t>
  </si>
  <si>
    <t>Asa0G04012.1</t>
  </si>
  <si>
    <t>Asa0G03952.1</t>
  </si>
  <si>
    <t>Asa0G03841.1</t>
  </si>
  <si>
    <t>Asa0G03748.1</t>
  </si>
  <si>
    <t>Asa0G03715.1</t>
  </si>
  <si>
    <t>Asa0G02881.1</t>
  </si>
  <si>
    <t>Asa0G02795.1</t>
  </si>
  <si>
    <t>Asa0G02677.1</t>
  </si>
  <si>
    <t>Asa0G02453.1</t>
  </si>
  <si>
    <t>Asa0G02403.1</t>
  </si>
  <si>
    <t>Asa0G02365.1</t>
  </si>
  <si>
    <t>Asa0G02357.1</t>
  </si>
  <si>
    <t>Asa0G02338.1</t>
  </si>
  <si>
    <t>Asa0G02276.1</t>
  </si>
  <si>
    <t>Asa0G02269.1</t>
  </si>
  <si>
    <t>Asa0G01710.1</t>
  </si>
  <si>
    <t>Asa0G01691.1</t>
  </si>
  <si>
    <t>Asa0G01558.1</t>
  </si>
  <si>
    <t>Asa0G01324.1</t>
  </si>
  <si>
    <t>Asa0G01305.1</t>
  </si>
  <si>
    <t>Asa0G01019.1</t>
  </si>
  <si>
    <t>Asa0G00739.1</t>
  </si>
  <si>
    <t>Asa0G00736.1</t>
  </si>
  <si>
    <t>Asa0G00653.1</t>
  </si>
  <si>
    <t>Asa0G00303.1</t>
  </si>
  <si>
    <t>Asa0G00156.1</t>
  </si>
  <si>
    <t>Asa8G04389.1</t>
  </si>
  <si>
    <t>Asa8G01861.1</t>
  </si>
  <si>
    <t>Asa8G01623.1</t>
  </si>
  <si>
    <t>Asa8G01074.1</t>
  </si>
  <si>
    <t>Asa7G04378.1</t>
  </si>
  <si>
    <t>Asa7G04060.1</t>
  </si>
  <si>
    <t>Asa7G04048.1</t>
  </si>
  <si>
    <t>Asa7G04027.1</t>
  </si>
  <si>
    <t>Asa7G02894.1</t>
  </si>
  <si>
    <t>Asa7G02711.1</t>
  </si>
  <si>
    <t>Asa7G02478.1</t>
  </si>
  <si>
    <t>Asa7G01793.1</t>
  </si>
  <si>
    <t>Asa7G01051.1</t>
  </si>
  <si>
    <t>Asa7G00696.1</t>
  </si>
  <si>
    <t>Asa7G00236.1</t>
  </si>
  <si>
    <t>Asa6G07158.1</t>
  </si>
  <si>
    <t>Asa6G06998.1</t>
  </si>
  <si>
    <t>Asa6G06369.1</t>
  </si>
  <si>
    <t>Asa6G05255.1</t>
  </si>
  <si>
    <t>Asa6G05250.1</t>
  </si>
  <si>
    <t>Asa6G03369.1</t>
  </si>
  <si>
    <t>Asa6G03145.1</t>
  </si>
  <si>
    <t>Asa6G02711.1</t>
  </si>
  <si>
    <t>Asa6G02162.1</t>
  </si>
  <si>
    <t>Asa6G00587.1</t>
  </si>
  <si>
    <t>Asa5G06287.1</t>
  </si>
  <si>
    <t>Asa5G06238.1</t>
  </si>
  <si>
    <t>Asa5G05950.1</t>
  </si>
  <si>
    <t>Asa5G05801.1</t>
  </si>
  <si>
    <t>Asa5G04604.1</t>
  </si>
  <si>
    <t>Asa5G03466.1</t>
  </si>
  <si>
    <t>Asa5G02903.1</t>
  </si>
  <si>
    <t>Asa5G01938.1</t>
  </si>
  <si>
    <t>Asa5G01289.1</t>
  </si>
  <si>
    <t>Asa5G00828.1</t>
  </si>
  <si>
    <t>Asa4G03464.1</t>
  </si>
  <si>
    <t>Asa4G02035.1</t>
  </si>
  <si>
    <t>Asa4G00818.1</t>
  </si>
  <si>
    <t>Asa3G07329.1</t>
  </si>
  <si>
    <t>Asa3G06678.1</t>
  </si>
  <si>
    <t>Asa3G06644.1</t>
  </si>
  <si>
    <t>Asa3G06523.1</t>
  </si>
  <si>
    <t>Asa3G06508.1</t>
  </si>
  <si>
    <t>Asa3G04635.1</t>
  </si>
  <si>
    <t>Asa3G03303.1</t>
  </si>
  <si>
    <t>Asa3G02245.1</t>
  </si>
  <si>
    <t>Asa3G01345.1</t>
  </si>
  <si>
    <t>Asa3G01324.1</t>
  </si>
  <si>
    <t>Asa2G04920.1</t>
  </si>
  <si>
    <t>Asa2G04827.1</t>
  </si>
  <si>
    <t>Asa2G04126.1</t>
  </si>
  <si>
    <t>Asa2G03829.1</t>
  </si>
  <si>
    <t>Asa2G03613.1</t>
  </si>
  <si>
    <t>Asa2G01480.1</t>
  </si>
  <si>
    <t>Asa2G00470.1</t>
  </si>
  <si>
    <t>Asa1G05034.1</t>
  </si>
  <si>
    <t>Asa1G03819.1</t>
  </si>
  <si>
    <t>Asa1G03543.1</t>
  </si>
  <si>
    <t>Asa1G02536.1</t>
  </si>
  <si>
    <t>Asa1G02394.1</t>
  </si>
  <si>
    <t>Asa1G01773.1</t>
  </si>
  <si>
    <t>Asa1G01647.1</t>
  </si>
  <si>
    <t>Asa1G01574.1</t>
  </si>
  <si>
    <t>Asa0G05661.1</t>
  </si>
  <si>
    <t>Asa0G02756.1</t>
  </si>
  <si>
    <t>Asa0G02470.1</t>
  </si>
  <si>
    <t>Asa0G01923.1</t>
  </si>
  <si>
    <t>Asa0G01449.1</t>
  </si>
  <si>
    <t>Asa0G00743.1</t>
  </si>
  <si>
    <t>Asa8G05175.1</t>
  </si>
  <si>
    <t>Asa8G05061.1</t>
  </si>
  <si>
    <t>Asa8G04735.1</t>
  </si>
  <si>
    <t>Asa8G03634.1</t>
  </si>
  <si>
    <t>Asa8G01292.1</t>
  </si>
  <si>
    <t>Asa8G01071.1</t>
  </si>
  <si>
    <t>Asa8G00352.1</t>
  </si>
  <si>
    <t>Asa8G00178.1</t>
  </si>
  <si>
    <t>Asa7G05401.1</t>
  </si>
  <si>
    <t>Asa7G02776.1</t>
  </si>
  <si>
    <t>Asa7G01158.1</t>
  </si>
  <si>
    <t>Asa6G05345.1</t>
  </si>
  <si>
    <t>Asa6G04927.1</t>
  </si>
  <si>
    <t>Asa6G04606.1</t>
  </si>
  <si>
    <t>Asa6G00696.1</t>
  </si>
  <si>
    <t>Asa6G00661.1</t>
  </si>
  <si>
    <t>Asa6G00148.1</t>
  </si>
  <si>
    <t>Asa5G05742.1</t>
  </si>
  <si>
    <t>Asa5G02656.1</t>
  </si>
  <si>
    <t>Asa5G02306.1</t>
  </si>
  <si>
    <t>Asa5G02103.1</t>
  </si>
  <si>
    <t>Asa5G01453.1</t>
  </si>
  <si>
    <t>Asa5G00905.1</t>
  </si>
  <si>
    <t>Asa4G05684.1</t>
  </si>
  <si>
    <t>Asa4G05037.1</t>
  </si>
  <si>
    <t>Asa4G01281.1</t>
  </si>
  <si>
    <t>Asa3G06878.1</t>
  </si>
  <si>
    <t>Asa3G06639.1</t>
  </si>
  <si>
    <t>Asa3G02187.1</t>
  </si>
  <si>
    <t>Asa3G01952.1</t>
  </si>
  <si>
    <t>Asa2G02440.1</t>
  </si>
  <si>
    <t>Asa2G02324.1</t>
  </si>
  <si>
    <t>Asa2G01577.1</t>
  </si>
  <si>
    <t>Asa2G00272.1</t>
  </si>
  <si>
    <t>Asa1G06293.1</t>
  </si>
  <si>
    <t>Asa1G05092.1</t>
  </si>
  <si>
    <t>Asa1G05040.1</t>
  </si>
  <si>
    <t>Asa1G03645.1</t>
  </si>
  <si>
    <t>Asa1G01940.1</t>
  </si>
  <si>
    <t>Asa1G01919.1</t>
  </si>
  <si>
    <t>Asa1G01204.1</t>
  </si>
  <si>
    <t>Asa0G01906.1</t>
  </si>
  <si>
    <t>Asa0G01874.1</t>
  </si>
  <si>
    <t>[translated] | NR=heat shock protein 70 [Nicotiana benthamiana]; Swissprot=Probable mediator of RNA polymerase II transcription subunit 37e OS=Arabidopsis thaliana GN=MED37E PE=1 SV=3; KEGG=probable mediator of RNA polymerase II transcription subunit 37e; K03283 heat shock 70kDa protein 1/8 (A); IPRSCAN=IPR013126 Heat shock protein 70 family NULL NULL</t>
  </si>
  <si>
    <t>[translated] | NR=PREDICTED: uncharacterized protein LOC103936350 [Pyrus x bretschneideri]; Swissprot=Lachrymatory-factor synthase OS=Allium cepa GN=LFS PE=1 SV=1; IPRSCAN=IPR019587 Polyketide cyclase/dehydrase</t>
  </si>
  <si>
    <t>[translated] | GO=Molecular Function: protein binding (GO:0005515); NR=PREDICTED: protein argonaute 1-like isoform X1 [Nelumbo nucifera]; Swissprot=Protein argonaute 11 OS=Oryza sativa subsp. japonica GN=AGO11 PE=2 SV=2; KEGG=protein argonaute 5-like; K11593 eukaryotic translation initiation factor 2C (A); IPRSCAN=NULL NULL NULL NULL IPR003165 Stem cell self-renewal protein Piwi</t>
  </si>
  <si>
    <t>[translated] | NR=PREDICTED: ethylene-responsive transcription factor TINY-like [Elaeis guineensis]; Swissprot=Ethylene-responsive transcription factor ERF043 OS=Arabidopsis thaliana GN=ERF043 PE=2 SV=1; KEGG=ethylene-responsive transcription factor TINY-like; K09286 EREBP-like factor (A); IPRSCAN=NULL NULL</t>
  </si>
  <si>
    <t>[translated] | GO=Molecular Function: triglyceride lipase activity (GO:0004806),Biological Process: lipid metabolic process (GO:0006629); NR=PREDICTED: GDSL esterase/lipase At4g10955-like [Elaeis guineensis]; Swissprot=GDSL esterase/lipase At4g10955 OS=Arabidopsis thaliana GN=At4g10955 PE=2 SV=1; IPRSCAN=IPR002921 Lipase, class 3 NULL NULL</t>
  </si>
  <si>
    <t>[translated] | NR=PREDICTED: probable ureidoglycolate hydrolase [Elaeis guineensis]; Swissprot=Ureidoglycolate hydrolase OS=Arabidopsis thaliana GN=UAH PE=1 SV=1; KEGG=probable ureidoglycolate hydrolase; K18151 ureidoglycolate amidohydrolase [EC:3.5.1.116] (A); IPRSCAN=NULL NULL NULL NULL</t>
  </si>
  <si>
    <t>[translated] | GO=Molecular Function: ion channel activity (GO:0005216),Biological Process: ion transport (GO:0006811),Cellular Component: membrane (GO:0016020),Biological Process: transmembrane transport (GO:0055085); NR=PREDICTED: two pore calcium channel protein 1 isoform X3 [Elaeis guineensis]; Swissprot=Two pore calcium channel protein 1B OS=Nicotiana tabacum GN=TPC1B PE=2 SV=1; KEGG=two pore calcium channel protein 1; K16900 two pore calcium channel protein, plant (A); IPRSCAN=NULL NULL NULL NULL IPR005821 Ion transport domain</t>
  </si>
  <si>
    <t>[translated] | GO=Molecular Function: hydrolase activity, hydrolyzing O-glycosyl compounds (GO:0004553),Cellular Component: cell wall (GO:0005618),Biological Process: carbohydrate metabolic process (GO:0005975),Biological Process: cellular glucan metabolic process (GO:0006073),Molecular Function: xyloglucan:xyloglucosyl transferase activity (GO:0016762),Cellular Component: apoplast (GO:0048046); NR=xyloglucan endotransglycosylase XET1 [Asparagus officinalis]; Swissprot=Probable xyloglucan endotransglucosylase/hydrolase protein 23 OS=Arabidopsis thaliana GN=XTH23 PE=2 SV=1; KEGG=probable xyloglucan endotransglucosylase/hydrolase protein 23; K08235 xyloglucan:xyloglucosyl transferase [EC:2.4.1.207] (A); IPRSCAN=NULL NULL IPR008264 Beta-glucanase IPR008264 Beta-glucanase IPR008264 Beta-glucanase IPR000757 Glycoside hydrolase, family 16 IPR010713 Xyloglucan endo-transglycosylase, C-terminal</t>
  </si>
  <si>
    <t>[translated]</t>
  </si>
  <si>
    <t>[translated] | GO=Molecular Function: protein kinase activity (GO:0004672),Molecular Function: protein tyrosine kinase activity (GO:0004713),Molecular Function: ATP binding (GO:0005524),Biological Process: protein phosphorylation (GO:0006468); NR=PREDICTED: serine/threonine-protein kinase HT1-like [Fragaria vesca subsp. vesca]; Swissprot=Serine/threonine-protein kinase HT1 OS=Arabidopsis thaliana GN=HT1 PE=1 SV=1; KEGG=serine/threonine-protein kinase HT1-like; K17535 serine/threonine-protein kinase TNNI3K [EC:2.7.11.1] (A); IPRSCAN=NULL NULL NULL NULL IPR002290 Serine/threonine- / dual specificity protein kinase, catalytic  domain IPR020635 Tyrosine-protein kinase, catalytic domain IPR000719 Protein kinase domain IPR001245 Serine-threonine/tyrosine-protein kinase catalytic domain IPR001245 Serine-threonine/tyrosine-protein kinase catalytic domain IPR001245 Serine-threonine/tyrosine-protein kinase catalytic domain IPR001245 Serine-threonine/tyrosine-protein kinase catalytic domain IPR001245 Serine-threonine/tyrosine-protein kinase catalytic domain IPR001245 Serine-threonine/tyrosine-protein kinase catalytic domain</t>
  </si>
  <si>
    <t>[translated] | GO=Molecular Function: magnesium ion binding (GO:0000287),Molecular Function: oxidoreductase activity, acting on the CH-OH group of donors, NAD or NADP as acceptor (GO:0016616),Molecular Function: NAD binding (GO:0051287),Biological Process: oxidation-reduction process (GO:0055114); NR=PREDICTED: isocitrate dehydrogenase [NAD] regulatory subunit 1, mitochondrial [Cucumis melo]; Swissprot=Isocitrate dehydrogenase [NAD] regulatory subunit 1, mitochondrial OS=Arabidopsis thaliana GN=IDH1 PE=2 SV=2; KEGG=isocitrate dehydrogenase [NAD] regulatory subunit 1, mitochondrial; K00030 isocitrate dehydrogenase (NAD+) [EC:1.1.1.41] (A); IPRSCAN=IPR024084 Isopropylmalate dehydrogenase-like domain NULL NULL IPR001804 Isocitrate and isopropylmalate dehydrogenases family</t>
  </si>
  <si>
    <t>[translated] | NR=PREDICTED: serine/arginine repetitive matrix protein 1 [Phoenix dactylifera]; Swissprot=Uncharacterized protein At1g65710 OS=Arabidopsis thaliana GN=At1g65710 PE=2 SV=1</t>
  </si>
  <si>
    <t>[translated] | GO=Molecular Function: transferase activity, transferring glycosyl groups (GO:0016757); NR=PREDICTED: galactinol synthase 2-like [Oryza brachyantha]; Swissprot=Galactinol synthase 2 OS=Arabidopsis thaliana GN=GOLS2 PE=1 SV=1; KEGG=galactinol synthase 2-like; K18819 inositol 3-alpha-galactosyltransferase [EC:2.4.1.123] (A); IPRSCAN=IPR002495 Glycosyl transferase, family 8 NULL NULL NULL NULL</t>
  </si>
  <si>
    <t>[translated] | GO=Molecular Function: chromatin binding (GO:0003682); NR=hypothetical protein POPTR_0002s18920g [Populus trichocarpa]; Swissprot=Transcription factor RADIALIS OS=Antirrhinum majus GN=RAD PE=1 SV=1; KEGG=polygalacturonase At1g48100-like; K01184 polygalacturonase [EC:3.2.1.15] (A); IPRSCAN=IPR001005 SANT/Myb domain IPR001005 SANT/Myb domain IPR017877 Myb-like domain NULL NULL NULL NULL</t>
  </si>
  <si>
    <t>[translated] | GO=Biological Process: defense response (GO:0006952); NR=PREDICTED: defensin Ec-AMP-D2-like [Pyrus x bretschneideri]; Swissprot=Defensin SD2 OS=Helianthus annuus GN=SD2 PE=2 SV=1; IPRSCAN=IPR008177 Gamma Purothionin IPR008177 Gamma Purothionin IPR003614 Knottin, scorpion toxin-like IPR008176 Gamma thionin</t>
  </si>
  <si>
    <t>[translated] | GO=Molecular Function: nucleic acid binding (GO:0003676),Molecular Function: zinc ion binding (GO:0008270); NR=PREDICTED: serine/arginine-rich splicing factor RSZ21A isoform X2 [Phoenix dactylifera]; Swissprot=Serine/arginine-rich splicing factor RSZ21 OS=Oryza sativa subsp. japonica GN=RSZP21 PE=2 SV=1; KEGG=serine/arginine-rich splicing factor RSZ21A; K12896 splicing factor, arginine/serine-rich 7 (A); IPRSCAN=IPR000504 RNA recognition motif domain IPR001878 Zinc finger, CCHC-type IPR000504 RNA recognition motif domain IPR001878 Zinc finger, CCHC-type IPR000504 RNA recognition motif domain IPR001878 Zinc finger, CCHC-type NULL NULL NULL NULL</t>
  </si>
  <si>
    <t>[translated] | GO=Biological Process: autophagy (GO:0006914); NR=PREDICTED: beclin-1-like protein [Elaeis guineensis]; Swissprot=Beclin-1-like protein OS=Arabidopsis thaliana GN=At3g61710 PE=2 SV=2; KEGG=beclin-1-like protein; K08334 beclin 1 (A); IPRSCAN=IPR007243 Beclin family NULL NULL IPR007243 Beclin family</t>
  </si>
  <si>
    <t>[translated] | NR=PREDICTED: probable folate-biopterin transporter 6 [Elaeis guineensis]; Swissprot=Probable folate-biopterin transporter 6 OS=Arabidopsis thaliana GN=At5g10820 PE=2 SV=1; KEGG=ADP-ribose pyrophosphatase; K13988 ADP-ribose pyrophosphatase [EC:3.6.1.13] (A); IPRSCAN=IPR004324 Biopterin transport-related protein BT1 NULL NULL NULL NULL</t>
  </si>
  <si>
    <t>[translated] | GO=Biological Process: base-excision repair (GO:0006284),Molecular Function: DNA-3-methyladenine glycosylase activity (GO:0008725); NR=PREDICTED: uncharacterized protein LOC105060180 [Elaeis guineensis]; Swissprot=Probable GMP synthase [glutamine-hydrolyzing] OS=Helicobacter hepaticus (strain ATCC 51449 / 3B1) GN=guaA PE=3 SV=1; KEGG=uncharacterized LOC105060180; K01246 DNA-3-methyladenine glycosylase I [EC:3.2.2.20] (A); IPRSCAN=IPR005019 Methyladenine glycosylase NULL NULL NULL NULL</t>
  </si>
  <si>
    <t>[translated] | GO=Biological Process: metal ion transport (GO:0030001),Molecular Function: metal ion binding (GO:0046872); NR=PREDICTED: heavy metal-associated isoprenylated plant protein 26-like [Elaeis guineensis]; Swissprot=Heavy metal-associated isoprenylated plant protein 26 OS=Arabidopsis thaliana GN=HIPP26 PE=1 SV=1; KEGG=heavy metal-associated isoprenylated plant protein 26-like; K10752 histone-binding protein RBBP4 (A); IPRSCAN=NULL NULL NULL NULL IPR006121 Heavy metal-associated domain, HMA IPR006121 Heavy metal-associated domain, HMA</t>
  </si>
  <si>
    <t>[translated] | NR=PREDICTED: probable glutathione S-transferase [Phoenix dactylifera]; Swissprot=Probable glutathione S-transferase OS=Glycine max GN=HSP26-A PE=2 SV=1; KEGG=probable glutathione S-transferase; K00799 glutathione S-transferase [EC:2.5.1.18] (A)</t>
  </si>
  <si>
    <t>[translated] | NR=PREDICTED: protein disulfide-isomerase SCO2-like [Musa acuminata subsp. malaccensis]; Swissprot=Protein disulfide-isomerase SCO2 OS=Arabidopsis thaliana GN=SCO2 PE=1 SV=1</t>
  </si>
  <si>
    <t>[translated] | NR=hypothetical protein AALP_AA6G021000 [Arabis alpina]</t>
  </si>
  <si>
    <t>[translated] | GO=Molecular Function: catalytic activity (GO:0003824),Molecular Function: molybdenum ion binding (GO:0030151),Molecular Function: pyridoxal phosphate binding (GO:0030170); NR=PREDICTED: mitochondrial amidoxime reducing component 2-like [Phoenix dactylifera]; Swissprot=Mitochondrial amidoxime reducing component 2 OS=Rattus norvegicus GN=Marc2 PE=2 SV=1; KEGG=mocos; molybdenum cofactor sulfurase; K15631 molybdenum cofactor sulfurtransferase [EC:2.8.1.9] (A); IPRSCAN=NULL NULL IPR005302 Molybdenum cofactor sulfurase, C-terminal IPR005303 MOSC, N-terminal beta barrel IPR005302 Molybdenum cofactor sulfurase, C-terminal</t>
  </si>
  <si>
    <t>[translated] | GO=Molecular Function: DNA binding (GO:0003677); NR=PREDICTED: protein SUPPRESSOR OF FRI 4-like [Elaeis guineensis]; Swissprot=Protein SUPPRESSOR OF FRI 4 OS=Arabidopsis thaliana GN=SUF4 PE=1 SV=1; KEGG=hypothetical protein; K03128 transcription initiation factor TFIID subunit 2 (A); IPRSCAN=IPR015880 Zinc finger, C2H2-like IPR015880 Zinc finger, C2H2-like IPR003656 Zinc finger, BED-type predicted NULL NULL NULL NULL</t>
  </si>
  <si>
    <t>[translated] | NR=PREDICTED: monothiol glutaredoxin-S9-like [Musa acuminata subsp. malaccensis]; Swissprot=Monothiol glutaredoxin-S3 OS=Oryza sativa subsp. japonica GN=GRXS3 PE=2 SV=1; KEGG=glutaredoxin-C1 protein; K03676 glutaredoxin 3 (A)</t>
  </si>
  <si>
    <t>[translated] | NR=PREDICTED: uncharacterized protein LOC104605685 [Nelumbo nucifera]</t>
  </si>
  <si>
    <t>[translated] | NR=PREDICTED: putative pentatricopeptide repeat-containing protein At1g10330 [Elaeis guineensis]; Swissprot=Putative pentatricopeptide repeat-containing protein At1g10330 OS=Arabidopsis thaliana GN=PCMP-E71 PE=3 SV=1; KEGG=uncharacterized LOC100250295; K03452 magnesium/proton exchanger (A); IPRSCAN=IPR002885 Pentatricopeptide repeat IPR002885 Pentatricopeptide repeat IPR002885 Pentatricopeptide repeat IPR002885 Pentatricopeptide repeat IPR002885 Pentatricopeptide repeat NULL NULL NULL NULL</t>
  </si>
  <si>
    <t>[translated] | NR=PREDICTED: uncharacterized protein LOC100193834 isoform X1 [Zea mays]</t>
  </si>
  <si>
    <t>[translated] | NR=PREDICTED: spermatogenesis-associated protein 20 [Phoenix dactylifera]; Swissprot=Spermatogenesis-associated protein 20 OS=Homo sapiens GN=SPATA20 PE=2 SV=3; KEGG=Os01g0935600; K00943 dTMP kinase [EC:2.7.4.9] (A); IPRSCAN=NULL NULL</t>
  </si>
  <si>
    <t>[translated] | NR=PREDICTED: vacuolar protein 8-like [Phoenix dactylifera]; KEGG=hypothetical protein; K08332 vacuolar protein 8 (A)</t>
  </si>
  <si>
    <t>[translated] | NR=PREDICTED: GRIP and coiled-coil domain-containing protein 2-like [Phoenix dactylifera]; KEGG=hypothetical protein; K04437 filamin (A)</t>
  </si>
  <si>
    <t>[translated] | GO=Molecular Function: structural constituent of ribosome (GO:0003735),Cellular Component: ribosome (GO:0005840),Biological Process: translation (GO:0006412),Cellular Component: large ribosomal subunit (GO:0015934); NR=ribosomal protein L22, partial (chloroplast) [Elodea canadensis]; Swissprot=50S ribosomal protein L22, chloroplastic OS=Acorus calamus GN=rpl22 PE=3 SV=1; KEGG=rpl22, ElguCp081; 50S ribosomal protein L22; K02890 large subunit ribosomal protein L22 (A); IPRSCAN=IPR005727 Ribosomal protein L22, bacterial/chloroplast-type IPR001063 Ribosomal protein L22/L17</t>
  </si>
  <si>
    <t>[translated] | NR=PREDICTED: uncharacterized protein LOC103701644 [Phoenix dactylifera]; IPRSCAN=IPR025322 Protein of unknown function DUF4228, plant</t>
  </si>
  <si>
    <t>[translated] | NR=hypothetical protein AALP_AA8G035400 [Arabis alpina]; Swissprot=Transcription initiation factor IIB-2 OS=Arabidopsis thaliana GN=TFIIB2 PE=2 SV=1; KEGG=transcription initiation factor IIB-like; K03124 transcription initiation factor TFIIB (A)</t>
  </si>
  <si>
    <t>[translated] | NR=PREDICTED: probable DEAD-box ATP-dependent RNA helicase 48 [Elaeis guineensis]; Swissprot=Putative DEAD-box ATP-dependent RNA helicase 33 OS=Arabidopsis thaliana GN=RH33 PE=3 SV=1; KEGG=probable DEAD-box ATP-dependent RNA helicase 48; K17679 ATP-dependent RNA helicase MSS116, mitochondrial [EC:3.6.4.13] (A)</t>
  </si>
  <si>
    <t>[translated] | GO=Molecular Function: peptidyl-prolyl cis-trans isomerase activity (GO:0003755),Biological Process: protein folding (GO:0006457); NR=cyclophilin [Lycoris longituba]; Swissprot=Peptidyl-prolyl cis-trans isomerase CYP19-1 OS=Arabidopsis thaliana GN=CYP19-1 PE=1 SV=1; KEGG=cyclophilin, putative (EC:5.2.1.8); K01802 peptidylprolyl isomerase [EC:5.2.1.8] (A); IPRSCAN=IPR002130 Cyclophilin-like peptidyl-prolyl cis-trans isomerase domain NULL NULL IPR002130 Cyclophilin-like peptidyl-prolyl cis-trans isomerase domain IPR002130 Cyclophilin-like peptidyl-prolyl cis-trans isomerase domain IPR002130 Cyclophilin-like peptidyl-prolyl cis-trans isomerase domain IPR002130 Cyclophilin-like peptidyl-prolyl cis-trans isomerase domain IPR002130 Cyclophilin-like peptidyl-prolyl cis-trans isomerase domain IPR002130 Cyclophilin-like peptidyl-prolyl cis-trans isomerase domain</t>
  </si>
  <si>
    <t>[translated] | NR=PREDICTED: uncharacterized protein LOC103709675 [Phoenix dactylifera]</t>
  </si>
  <si>
    <t>[translated] | GO=Molecular Function: protein binding (GO:0005515),Molecular Function: zinc ion binding (GO:0008270); NR=PREDICTED: uncharacterized protein LOC103720151 isoform X2 [Phoenix dactylifera]; Swissprot=E3 ubiquitin-protein ligase SDIR1 OS=Arabidopsis thaliana GN=SDIR1 PE=1 SV=1; KEGG=hypothetical protein; K19041 E3 ubiquitin-protein ligase RNF38/44 [EC:2.3.2.27] (A); IPRSCAN=IPR011016 Zinc finger, RING-CH-type IPR001841 Zinc finger, RING-type IPR001841 Zinc finger, RING-type NULL NULL NULL NULL IPR001841 Zinc finger, RING-type</t>
  </si>
  <si>
    <t>[translated] | NR=PREDICTED: uncharacterized protein LOC105045016 [Elaeis guineensis]</t>
  </si>
  <si>
    <t>[translated] | NR=unknown [Lotus japonicus]; IPRSCAN=IPR004252 Probable transposase, Ptta/En/Spm, plant</t>
  </si>
  <si>
    <t>[translated] | GO=Molecular Function: protein binding (GO:0005515); NR=PREDICTED: putative F-box/LRR-repeat protein 23 [Elaeis guineensis]; Swissprot=F-box protein SKIP19 OS=Arabidopsis thaliana GN=SKIP19 PE=1 SV=1; KEGG=hypothetical protein; K10268 F-box and leucine-rich repeat protein 2/20 (A); IPRSCAN=IPR001810 F-box domain NULL NULL NULL NULL IPR006553 Leucine-rich repeat, cysteine-containing subtype IPR006553 Leucine-rich repeat, cysteine-containing subtype IPR006553 Leucine-rich repeat, cysteine-containing subtype</t>
  </si>
  <si>
    <t>[translated] | GO=Cellular Component: intracellular (GO:0005622),Molecular Function: zinc ion binding (GO:0008270); NR=PREDICTED: probable salt tolerance-like protein At1g75540 [Musa acuminata subsp. malaccensis]; Swissprot=B-box zinc finger protein 21 OS=Arabidopsis thaliana GN=BBX21 PE=1 SV=1; KEGG=hypothetical protein; K19720 collagen, type III, alpha (A); IPRSCAN=NULL NULL IPR000315 Zinc finger, B-box IPR000315 Zinc finger, B-box IPR000315 Zinc finger, B-box IPR000315 Zinc finger, B-box IPR000315 Zinc finger, B-box IPR000315 Zinc finger, B-box</t>
  </si>
  <si>
    <t>[translated] | GO=Biological Process: cellular amino acid metabolic process (GO:0006520),Biological Process: oxidation-reduction process (GO:0055114); NR=PREDICTED: bifunctional aspartokinase/homoserine dehydrogenase 1, chloroplastic-like [Elaeis guineensis]; Swissprot=Bifunctional aspartokinase/homoserine dehydrogenase 2, chloroplastic OS=Zea mays GN=AKHSDH2 PE=2 SV=1; KEGG=bifunctional aspartokinase/homoserine dehydrogenase 1, chloroplastic-like; K12524 bifunctional aspartokinase / homoserine dehydrogenase 1 [EC:2.7.2.4 1.1.1.3] (A); IPRSCAN=IPR001342 Homoserine dehydrogenase, catalytic NULL NULL NULL NULL</t>
  </si>
  <si>
    <t>[translated] | NR=predicted protein [Hordeum vulgare subsp. vulgare]; Swissprot=Cytochrome b-c1 complex subunit 6 OS=Solanum tuberosum PE=1 SV=2; KEGG=hypothetical protein; K00416 ubiquinol-cytochrome c reductase subunit 6 (A); IPRSCAN=IPR023184 Ubiquinol-cytochrome C reductase hinge domain</t>
  </si>
  <si>
    <t>[translated] | GO=Molecular Function: phosphorelay response regulator activity (GO:0000156),Biological Process: phosphorelay signal transduction system (GO:0000160),Molecular Function: chromatin binding (GO:0003682),Biological Process: regulation of transcription, DNA-dependent (GO:0006355); NR=PREDICTED: two-component response regulator ARR1-like [Elaeis guineensis]; Swissprot=Two-component response regulator ARR1 OS=Arabidopsis thaliana GN=ARR1 PE=1 SV=2; KEGG=two-component response regulator ARR1-like; K14491 two-component response regulator ARR-B family (A); IPRSCAN=IPR001789 Signal transduction response regulator, receiver domain IPR017930 Myb domain NULL NULL NULL NULL IPR001789 Signal transduction response regulator, receiver domain IPR001789 Signal transduction response regulator, receiver domain IPR001005 SANT/Myb domain</t>
  </si>
  <si>
    <t>[translated] | NR=PREDICTED: HAUS augmin-like complex subunit 1 [Elaeis guineensis]; KEGG=HAUS augmin-like complex subunit 1; K16584 HAUS augmin-like complex subunit 1 (A)</t>
  </si>
  <si>
    <t>[translated] | NR=PREDICTED: vacuolar amino acid transporter 1-like isoform X3 [Phoenix dactylifera]; Swissprot=Vacuolar amino acid transporter 1 OS=Saccharomyces cerevisiae (strain ATCC 204508 / S288c) GN=AVT1 PE=1 SV=1; KEGG=vacuolar amino acid transporter 1-like; K15015 solute carrier family 32 (vesicular inhibitory amino acid transporter) (A); IPRSCAN=NULL NULL NULL NULL IPR013057 Amino acid transporter, transmembrane</t>
  </si>
  <si>
    <t>[translated] | NR=PREDICTED: carbamoyl-phosphate synthase small chain, chloroplastic [Musa acuminata subsp. malaccensis]; Swissprot=Carbamoyl-phosphate synthase small chain, chloroplastic OS=Oryza sativa subsp. japonica GN=CARA PE=2 SV=2; KEGG=carbamoyl-phosphate synthase small chain, chloroplastic; K01956 carbamoyl-phosphate synthase small subunit [EC:6.3.5.5] (A); IPRSCAN=NULL NULL NULL NULL NULL NULL NULL NULL IPR017926 Glutamine amidotransferase IPR017926 Glutamine amidotransferase NULL NULL NULL NULL</t>
  </si>
  <si>
    <t>[translated] | GO=Biological Process: microtubule cytoskeleton organization (GO:0000226),Biological Process: cytokinesis (GO:0000910),Molecular Function: microtubule binding (GO:0008017); NR=PREDICTED: 65-kDa microtubule-associated protein 3-like [Elaeis guineensis]; Swissprot=65-kDa microtubule-associated protein 9 OS=Arabidopsis thaliana GN=MAP65-9 PE=2 SV=1; KEGG=65-kDa microtubule-associated protein 3-like; K16732 protein regulator of cytokinesis 1 (A); IPRSCAN=IPR007145 Microtubule-associated protein, MAP65/Ase1/PRC1 IPR007145 Microtubule-associated protein, MAP65/Ase1/PRC1</t>
  </si>
  <si>
    <t>[translated] | GO=Molecular Function: RNA binding (GO:0003723); NR=PREDICTED: 30S ribosomal protein S1, chloroplastic [Nelumbo nucifera]; Swissprot=30S ribosomal protein S1, chloroplastic OS=Spinacia oleracea GN=RPS1 PE=1 SV=1; KEGG=30S ribosomal protein S1, chloroplastic; K02945 small subunit ribosomal protein S1 (A); IPRSCAN=IPR022967 RNA-binding domain, S1 IPR022967 RNA-binding domain, S1 IPR003029 Ribosomal protein S1, RNA-binding domain IPR003029 Ribosomal protein S1, RNA-binding domain NULL NULL NULL NULL</t>
  </si>
  <si>
    <t>[translated] | GO=Molecular Function: structural constituent of ribosome (GO:0003735),Cellular Component: intracellular (GO:0005622),Cellular Component: ribosome (GO:0005840),Biological Process: translation (GO:0006412); NR=TPA: hypothetical protein ZEAMMB73_300382 [Zea mays]; Swissprot=60S ribosomal protein L8 OS=Solanum lycopersicum GN=RPL8 PE=2 SV=1; KEGG=60S ribosomal protein L8-like; K02938 large subunit ribosomal protein L8e (A); IPRSCAN=IPR022666 Ribosomal Proteins L2, RNA binding domain NULL NULL IPR002171 Ribosomal protein L2</t>
  </si>
  <si>
    <t>[translated] | NR=conserved hypothetical protein [Geodermatophilus obscurus DSM 43160]</t>
  </si>
  <si>
    <t>[translated] | NR=hypothetical protein TRIUR3_26533 [Triticum urartu]</t>
  </si>
  <si>
    <t>[translated] | GO=Molecular Function: serine-type endopeptidase activity (GO:0004252),Molecular Function: protein binding (GO:0005515),Biological Process: proteolysis (GO:0006508); NR=PREDICTED: protease Do-like 2, chloroplastic [Musa acuminata subsp. malaccensis]; Swissprot=Protease Do-like 2, chloroplastic OS=Arabidopsis thaliana GN=DEGP2 PE=1 SV=2; KEGG=protease Do-like 1, chloroplastic-like; K04771 serine protease Do [EC:3.4.21.107] (A); IPRSCAN=IPR001478 PDZ domain IPR015724 Serine endopeptidase DegP2 NULL NULL IPR001254 Peptidase S1 IPR001478 PDZ domain IPR001940 Peptidase S1C IPR001940 Peptidase S1C IPR001940 Peptidase S1C IPR001940 Peptidase S1C</t>
  </si>
  <si>
    <t>[translated] | NR=PREDICTED: GDP-mannose transporter GONST1 isoform X3 [Nelumbo nucifera]; Swissprot=GDP-mannose transporter GONST1 OS=Arabidopsis thaliana GN=GONST1 PE=1 SV=2; KEGG=GDP-mannose transporter GONST1; K15356 GDP-mannose transporter (A)</t>
  </si>
  <si>
    <t>[translated] | GO=Molecular Function: chromatin binding (GO:0003682); NR=asymmetric leaves1 [Asparagus officinalis]; Swissprot=Transcription factor AS1 OS=Arabidopsis thaliana GN=AS1 PE=1 SV=1; KEGG=hypothetical protein; K09422 myb proto-oncogene protein, plant (A); IPRSCAN=IPR017930 Myb domain NULL NULL IPR001005 SANT/Myb domain</t>
  </si>
  <si>
    <t>[translated] | NR=PREDICTED: class I heat shock protein-like [Nicotiana tomentosiformis]; Swissprot=17.8 kDa class I heat shock protein OS=Solanum lycopersicum PE=2 SV=1; KEGG=17.3 kDa class I heat shock protein-like; K13993 HSP20 family protein (A); IPRSCAN=NULL NULL NULL NULL IPR002068 Alpha crystallin/Hsp20 domain IPR002068 Alpha crystallin/Hsp20 domain</t>
  </si>
  <si>
    <t>[translated] | GO=Molecular Function: inorganic diphosphatase activity (GO:0004427),Molecular Function: hydrogen-translocating pyrophosphatase activity (GO:0009678),Biological Process: proton transport (GO:0015992),Cellular Component: membrane (GO:0016020); NR=hypothetical protein OsI_06126 [Oryza sativa Indica Group]; Swissprot=Pyrophosphate-energized vacuolar membrane proton pump OS=Vigna radiata var. radiata PE=1 SV=4; KEGG=pyrophosphate-energized vacuolar membrane proton pump 1-like; K01507 inorganic pyrophosphatase [EC:3.6.1.1] (A); IPRSCAN=NULL NULL IPR004131 Pyrophosphate-energised proton pump</t>
  </si>
  <si>
    <t>[translated] | GO=Cellular Component: intracellular (GO:0005622),Biological Process: ribosome biogenesis (GO:0042254); NR=PREDICTED: 50S ribosomal protein L10, chloroplastic-like [Elaeis guineensis]; Swissprot=50S ribosomal protein L10, chloroplastic OS=Nicotiana tabacum GN=RPL10 PE=2 SV=1; KEGG=50S ribosomal protein L10, chloroplastic-like; K02864 large subunit ribosomal protein L10 (A); IPRSCAN=IPR001790 Ribosomal protein L10/acidic P0</t>
  </si>
  <si>
    <t>[translated] | GO=Molecular Function: oxidoreductase activity (GO:0016491); NR=PREDICTED: peroxiredoxin-2E-2, chloroplastic-like [Musa acuminata subsp. malaccensis]; Swissprot=Peroxiredoxin-2E-2, chloroplastic OS=Oryza sativa subsp. japonica GN=PRXIIE-2 PE=1 SV=1; KEGG=peroxiredoxin-2D; K03386 peroxiredoxin (alkyl hydroperoxide reductase subunit C) [EC:1.11.1.15] (A); IPRSCAN=IPR013740 Redoxin NULL NULL NULL NULL</t>
  </si>
  <si>
    <t>[translated] | NR=PREDICTED: pentatricopeptide repeat-containing protein At2g15630, mitochondrial [Phoenix dactylifera]; Swissprot=Pentatricopeptide repeat-containing protein At2g15630, mitochondrial OS=Arabidopsis thaliana GN=At2g15630 PE=3 SV=1; KEGG=hypothetical protein; K17710 pentatricopeptide repeat domain-containing protein 1 (A); IPRSCAN=NULL NULL NULL NULL IPR002885 Pentatricopeptide repeat IPR002885 Pentatricopeptide repeat IPR002885 Pentatricopeptide repeat IPR002885 Pentatricopeptide repeat IPR002885 Pentatricopeptide repeat</t>
  </si>
  <si>
    <t>[translated] | GO=Molecular Function: protein kinase activity (GO:0004672),Molecular Function: protein tyrosine kinase activity (GO:0004713),Molecular Function: ATP binding (GO:0005524),Biological Process: protein phosphorylation (GO:0006468); NR=PREDICTED: CDPK-related kinase 5-like [Musa acuminata subsp. malaccensis]; Swissprot=CDPK-related protein kinase OS=Daucus carota GN=CRK PE=2 SV=1; KEGG=CDPK-related kinase 5; K00924 [EC:2.7.1.-] (A); IPRSCAN=IPR000719 Protein kinase domain IPR002290 Serine/threonine- / dual specificity protein kinase, catalytic  domain IPR020635 Tyrosine-protein kinase, catalytic domain NULL NULL NULL NULL IPR000719 Protein kinase domain</t>
  </si>
  <si>
    <t>[translated] | GO=Molecular Function: adenyl nucleotide binding (GO:0030554); NR=hypothetical protein VITISV_021555 [Vitis vinifera]; Swissprot=CBS domain-containing protein CBSX1, chloroplastic OS=Arabidopsis thaliana GN=CBSX1 PE=1 SV=2; IPRSCAN=IPR000644 CBS domain NULL NULL IPR000644 CBS domain IPR000644 CBS domain</t>
  </si>
  <si>
    <t>[translated] | GO=Molecular Function: magnesium ion binding (GO:0000287),Molecular Function: phospholipid-translocating ATPase activity (GO:0004012),Molecular Function: ATP binding (GO:0005524),Biological Process: phospholipid transport (GO:0015914),Cellular Component: integral to membrane (GO:0016021); NR=PREDICTED: phospholipid-transporting ATPase 3-like [Nelumbo nucifera]; Swissprot=Phospholipid-transporting ATPase 3 OS=Arabidopsis thaliana GN=ALA3 PE=1 SV=2; KEGG=phospholipid-transporting ATPase 3-like; K14802 phospholipid-transporting ATPase [EC:3.6.3.1] (A); IPRSCAN=NULL NULL IPR006539 Phospholipid-transporting  P-type ATPase, subfamily IV</t>
  </si>
  <si>
    <t>[translated] | NR=PREDICTED: peptidyl-prolyl cis-trans isomerase CYP63-like isoform X1 [Musa acuminata subsp. malaccensis]; Swissprot=Peptidyl-prolyl cis-trans isomerase CYP63 OS=Arabidopsis thaliana GN=CYP63 PE=1 SV=1; KEGG=peptidyl-prolyl cis-trans isomerase CYP63-like isoform X1; K09566 peptidyl-prolyl isomerase G (cyclophilin G) [EC:5.2.1.8] (A)</t>
  </si>
  <si>
    <t>[translated] | NR=PREDICTED: protein TRIGALACTOSYLDIACYLGLYCEROL 4, chloroplastic [Phoenix dactylifera]; Swissprot=Protein TRIGALACTOSYLDIACYLGLYCEROL 4, chloroplastic OS=Arabidopsis thaliana GN=TGD4 PE=1 SV=1; IPRSCAN=IPR022244 Protein of unknown function DUF3769</t>
  </si>
  <si>
    <t>[translated] | GO=Molecular Function: protein binding (GO:0005515); NR=PREDICTED: ubiquitin domain-containing protein DSK2a-like isoform X2 [Nelumbo nucifera]; Swissprot=Ubiquitin domain-containing protein DSK2b OS=Arabidopsis thaliana GN=DSK2B PE=1 SV=1; KEGG=ubiquitin domain-containing protein DSK2a-like; K04523 ubiquilin (A); IPRSCAN=IPR000626 Ubiquitin domain IPR000449 Ubiquitin-associated domain/translation elongation factor EF-Ts, N-terminal IPR015940 Ubiquitin-associated/translation elongation factor EF1B, N-terminal, eukaryote IPR019955 Ubiquitin supergroup IPR019956 Ubiquitin IPR019956 Ubiquitin NULL NULL IPR015496 Ubiquilin IPR000626 Ubiquitin domain IPR006636 Heat shock chaperonin-binding IPR006636 Heat shock chaperonin-binding IPR006636 Heat shock chaperonin-binding IPR006636 Heat shock chaperonin-binding IPR015940 Ubiquitin-associated/translation elongation factor EF1B, N-terminal, eukaryote</t>
  </si>
  <si>
    <t>[translated] | GO=Molecular Function: protein kinase activity (GO:0004672),Molecular Function: protein tyrosine kinase activity (GO:0004713),Molecular Function: ATP binding (GO:0005524),Biological Process: protein phosphorylation (GO:0006468); NR=PREDICTED: receptor-like protein kinase FERONIA [Phoenix dactylifera]; Swissprot=Receptor-like protein kinase FERONIA OS=Arabidopsis thaliana GN=FER PE=1 SV=1; KEGG=receptor-like protein kinase FERONIA; K04730 interleukin-1 receptor-associated kinase 1 [EC:2.7.11.1] (A); IPRSCAN=NULL NULL NULL NULL IPR002290 Serine/threonine- / dual specificity protein kinase, catalytic  domain IPR020635 Tyrosine-protein kinase, catalytic domain IPR024788 Malectin-like carbohydrate-binding domain IPR001245 Serine-threonine/tyrosine-protein kinase catalytic domain IPR000719 Protein kinase domain</t>
  </si>
  <si>
    <t>[translated] | GO=Biological Process: macromolecule biosynthetic process (GO:0009059),Cellular Component: integral to endoplasmic reticulum membrane (GO:0030176); NR=PREDICTED: dolichol phosphate-mannose biosynthesis regulatory protein [Musa acuminata subsp. malaccensis]; Swissprot=Dolichol phosphate-mannose biosynthesis regulatory protein OS=Bos taurus GN=DPM2 PE=3 SV=3; KEGG=dolichol phosphate-mannose biosynthesis regulatory protein; K09658 dolichyl-phosphate mannosyltransferase polypeptide 2, regulatory subunit (A); IPRSCAN=IPR009914 Dolichol phosphate-mannose biosynthesis regulatory NULL NULL NULL NULL</t>
  </si>
  <si>
    <t>[translated] | NR=PREDICTED: GRF1-interacting factor 2-like [Elaeis guineensis]</t>
  </si>
  <si>
    <t>[translated] | GO=Molecular Function: protein kinase activity (GO:0004672),Molecular Function: ATP binding (GO:0005524),Biological Process: protein phosphorylation (GO:0006468); NR=PREDICTED: wall-associated receptor kinase 2-like [Elaeis guineensis]; Swissprot=Wall-associated receptor kinase-like 22 OS=Arabidopsis thaliana GN=WAKL22 PE=2 SV=1; KEGG=wall-associated receptor kinase-like 1; K04733 interleukin-1 receptor-associated kinase 4 [EC:2.7.11.1] (A); IPRSCAN=IPR000719 Protein kinase domain IPR000719 Protein kinase domain NULL NULL NULL NULL</t>
  </si>
  <si>
    <t>[translated] | GO=Molecular Function: nucleic acid binding (GO:0003676); NR=PREDICTED: zinc finger CCCH domain-containing protein 62-like isoform X1 [Nelumbo nucifera]; Swissprot=Zinc finger CCCH domain-containing protein 62 OS=Oryza sativa subsp. japonica GN=Os10g0391300 PE=3 SV=2; KEGG=peroxisomal (S)-2-hydroxy-acid oxidase GLO4-like; K11517 (S)-2-hydroxy-acid oxidase [EC:1.1.3.15] (A); IPRSCAN=IPR003034 SAP domain</t>
  </si>
  <si>
    <t>[translated] | GO=Biological Process: proteolysis (GO:0006508),Molecular Function: metallopeptidase activity (GO:0008237),Molecular Function: zinc ion binding (GO:0008270); NR=PREDICTED: aminopeptidase M1 [Beta vulgaris subsp. vulgaris]; Swissprot=Aminopeptidase M1-B OS=Oryza sativa subsp. japonica GN=Os08g0398700 PE=2 SV=1; KEGG=aminopeptidase M1; K08776 puromycin-sensitive aminopeptidase [EC:3.4.11.-] (A); IPRSCAN=NULL NULL IPR001930 Peptidase M1, alanine aminopeptidase/leukotriene A4 hydrolase IPR014782 Peptidase M1, membrane alanine aminopeptidase, N-terminal IPR014782 Peptidase M1, membrane alanine aminopeptidase, N-terminal IPR014782 Peptidase M1, membrane alanine aminopeptidase, N-terminal IPR014782 Peptidase M1, membrane alanine aminopeptidase, N-terminal</t>
  </si>
  <si>
    <t>[translated] | NR=PREDICTED: uncharacterized protein At5g48480 [Nelumbo nucifera]; Swissprot=Uncharacterized protein At5g48480 OS=Arabidopsis thaliana GN=At5g48480 PE=1 SV=1; IPRSCAN=IPR025870 Glyoxalase-like domain</t>
  </si>
  <si>
    <t>[translated] | GO=Cellular Component: photosystem II (GO:0009523),Biological Process: photosynthesis (GO:0015979),Cellular Component: membrane (GO:0016020); NR=hypothetical protein CICLE_v10009915mg [Citrus clementina]; KEGG=psbx; hypothetical protein; K02259 cytochrome c oxidase assembly protein subunit 15 (A); IPRSCAN=IPR009518 Photosystem II PsbX</t>
  </si>
  <si>
    <t>[translated] | NR=9-cis-epoxycarotenoid dioxygenase [Narcissus tazetta]; Swissprot=Probable 9-cis-epoxycarotenoid dioxygenase NCED5, chloroplastic OS=Arabidopsis thaliana GN=NCED5 PE=1 SV=1; KEGG=9-cis-epoxycarotenoid dioxygenase, chloroplastic-like; K09840 9-cis-epoxycarotenoid dioxygenase [EC:1.13.11.51] (A); IPRSCAN=IPR004294 Carotenoid oxygenase NULL NULL IPR004294 Carotenoid oxygenase</t>
  </si>
  <si>
    <t>[translated] | GO=Biological Process: cation transport (GO:0006812),Molecular Function: solute:hydrogen antiporter activity (GO:0015299),Cellular Component: integral to membrane (GO:0016021),Biological Process: transmembrane transport (GO:0055085); NR=PREDICTED: cation/H(+) antiporter 15-like [Elaeis guineensis]; Swissprot=Cation/H(+) antiporter 15 OS=Arabidopsis thaliana GN=CHX15 PE=2 SV=1; IPRSCAN=NULL NULL NULL NULL IPR006153 Cation/H+ exchanger</t>
  </si>
  <si>
    <t>[translated] | GO=Biological Process: lipid metabolic process (GO:0006629),Molecular Function: hydrolase activity, acting on ester bonds (GO:0016788); NR=PREDICTED: GDSL esterase/lipase At5g03610-like [Elaeis guineensis]; Swissprot=GDSL esterase/lipase At5g03610 OS=Arabidopsis thaliana GN=At5g03610 PE=2 SV=1; KEGG=T4O12.15; K01188 beta-glucosidase [EC:3.2.1.21] (A); IPRSCAN=IPR001087 Lipase, GDSL NULL NULL</t>
  </si>
  <si>
    <t>[translated] | GO=Molecular Function: protein kinase activity (GO:0004672),Molecular Function: protein tyrosine kinase activity (GO:0004713),Molecular Function: ATP binding (GO:0005524),Biological Process: protein phosphorylation (GO:0006468),Molecular Function: carbohydrate binding (GO:0030246); NR=PREDICTED: L-type lectin-domain containing receptor kinase IX.1-like [Phoenix dactylifera]; Swissprot=L-type lectin-domain containing receptor kinase IX.1 OS=Arabidopsis thaliana GN=LECRK91 PE=2 SV=1; KEGG=L-type lectin-domain containing receptor kinase IX.1-like; K04730 interleukin-1 receptor-associated kinase 1 [EC:2.7.11.1] (A); IPRSCAN=IPR002290 Serine/threonine- / dual specificity protein kinase, catalytic  domain IPR020635 Tyrosine-protein kinase, catalytic domain IPR001220 Legume lectin domain IPR000719 Protein kinase domain NULL NULL NULL NULL IPR000719 Protein kinase domain</t>
  </si>
  <si>
    <t>[translated] | NR=hypothetical protein POPTR_0016s13350g [Populus trichocarpa]; Swissprot=BES1/BZR1 homolog protein 2 OS=Arabidopsis thaliana GN=BEH2 PE=1 SV=1; KEGG=brassinazole-resistant 1 protein; K14503 brassinosteroid resistant 1/2 (A); IPRSCAN=NULL NULL IPR008540 BZR1, transcriptional repressor</t>
  </si>
  <si>
    <t>[translated] | NR=PREDICTED: pentatricopeptide repeat-containing protein At3g09060 [Musa acuminata subsp. malaccensis]; Swissprot=Pentatricopeptide repeat-containing protein At3g09060 OS=Arabidopsis thaliana GN=At3g09060 PE=2 SV=1; KEGG=hypothetical protein; K17964 leucine-rich PPR motif-containing protein, mitochondrial (A); IPRSCAN=IPR002885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NULL NULL NULL NULL</t>
  </si>
  <si>
    <t>[translated] | GO=Molecular Function: phosphorelay response regulator activity (GO:0000156),Biological Process: phosphorelay signal transduction system (GO:0000160),Biological Process: regulation of transcription, DNA-dependent (GO:0006355); NR=hypothetical protein PHAVU_001G166700g [Phaseolus vulgaris]; Swissprot=Two-component response regulator ARR22 OS=Arabidopsis thaliana GN=ARR22 PE=2 SV=1; KEGG=hypothetical protein; K11231 osomolarity two-component system, sensor histidine kinase SLN1 [EC:2.7.13.3] (A); IPRSCAN=IPR001789 Signal transduction response regulator, receiver domain IPR001789 Signal transduction response regulator, receiver domain NULL NULL IPR001789 Signal transduction response regulator, receiver domain</t>
  </si>
  <si>
    <t>[translated] | GO=Molecular Function: calcium ion binding (GO:0005509); NR=PREDICTED: vacuolar-sorting receptor 6-like [Phoenix dactylifera]; Swissprot=Vacuolar-sorting receptor 7 OS=Arabidopsis thaliana GN=VSR7 PE=2 SV=2; KEGG=Cubilin; cubilin-like; K14616 cubilin (A); IPRSCAN=IPR003137 Protease-associated domain, PA IPR001881 EGF-like calcium-binding domain NULL NULL NULL NULL</t>
  </si>
  <si>
    <t>[translated] | NR=PREDICTED: U1 small nuclear ribonucleoprotein 70 kDa-like [Phoenix dactylifera]; Swissprot=U1 small nuclear ribonucleoprotein 70 kDa OS=Arabidopsis thaliana GN=RNU1 PE=1 SV=1; KEGG=U1 small nuclear ribonucleoprotein 70 kDa-like; K11093 U1 small nuclear ribonucleoprotein 70kDa (A)</t>
  </si>
  <si>
    <t>[translated] | GO=Molecular Function: nucleic acid binding (GO:0003676); NR=hypothetical protein ZOSMA_75G00670 [Zostera marina]; Swissprot=Serine/arginine-rich splicing factor SC35 OS=Arabidopsis thaliana GN=SC35 PE=1 SV=1; KEGG=serine/arginine-rich splicing factor SC35-like isoform X1; K12891 splicing factor, arginine/serine-rich 2 (A); IPRSCAN=IPR000504 RNA recognition motif domain IPR000504 RNA recognition motif domain NULL NULL IPR000504 RNA recognition motif domain</t>
  </si>
  <si>
    <t>[translated] | NR=PREDICTED: DELLA protein GAI-like [Elaeis guineensis]; Swissprot=DELLA protein GAI OS=Arabidopsis thaliana GN=GAI PE=1 SV=1; KEGG=DELLA protein GAI-like; K14494 DELLA protein (A); IPRSCAN=IPR005202 Transcription factor GRAS NULL NULL IPR005202 Transcription factor GRAS IPR021914 Transcriptional factor DELLA, N-terminal</t>
  </si>
  <si>
    <t>[translated] | NR=cyclin A3.1 family protein [Populus trichocarpa]; Swissprot=Cyclin-A3-2 OS=Oryza sativa subsp. japonica GN=CYCA3-2 PE=2 SV=1; KEGG=POPTRDRAFT_709971; cyclin A3.1 family protein; K06627 cyclin A (A); IPRSCAN=IPR006671 Cyclin, N-terminal IPR013763 Cyclin-like NULL NULL</t>
  </si>
  <si>
    <t>[translated] | GO=Cellular Component: nucleus (GO:0005634); NR=PREDICTED: cyclin-A3-1-like [Elaeis guineensis]; Swissprot=Putative cyclin-A3-1 OS=Arabidopsis thaliana GN=CYCA3-1 PE=3 SV=1; KEGG=cyclin-A3-1-like; K06627 cyclin A (A); IPRSCAN=IPR006671 Cyclin, N-terminal IPR004367 Cyclin, C-terminal domain IPR013763 Cyclin-like IPR013763 Cyclin-like NULL NULL NULL NULL</t>
  </si>
  <si>
    <t>[translated] | NR=Pleiotropic drug resistance protein 3 [Aegilops tauschii]; Swissprot=ABC transporter G family member 37 OS=Arabidopsis thaliana GN=ABCG37 PE=2 SV=1; IPRSCAN=NULL NULL NULL NULL</t>
  </si>
  <si>
    <t>[translated] | GO=Biological Process: metabolic process (GO:0008152),Molecular Function: hydrolase activity (GO:0016787); NR=PREDICTED: haloacid dehalogenase-like hydrolase domain-containing protein At4g39970 [Musa acuminata subsp. malaccensis]; Swissprot=Haloacid dehalogenase-like hydrolase domain-containing protein At4g39970 OS=Arabidopsis thaliana GN=At4g39970 PE=2 SV=1; KEGG=bifunctional riboflavin kinase/FMN phosphatase-like; K00861 riboflavin kinase [EC:2.7.1.26] (A); IPRSCAN=NULL NULL IPR023214 HAD-like domain IPR006439 HAD hydrolase, subfamily IA IPR006439 HAD hydrolase, subfamily IA IPR006439 HAD hydrolase, subfamily IA IPR006439 HAD hydrolase, subfamily IA</t>
  </si>
  <si>
    <t>[translated] | NR=hypothetical protein RirG_044740 [Rhizophagus irregularis DAOM 197198w]</t>
  </si>
  <si>
    <t>[translated] | NR=PREDICTED: reactive Intermediate Deaminase A, chloroplastic isoform X1 [Gossypium raimondii]; Swissprot=Reactive Intermediate Deaminase A, chloroplastic OS=Arabidopsis thaliana GN=RIDA PE=1 SV=1; KEGG=hypothetical protein; K06965 protein pelota (A); IPRSCAN=IPR006175 YjgF/Yer057p/UK114 family IPR006175 YjgF/Yer057p/UK114 family</t>
  </si>
  <si>
    <t>[translated] | GO=Molecular Function: nucleotide binding (GO:0000166),Molecular Function: ATP binding (GO:0005524),Molecular Function: nucleoside-triphosphatase activity (GO:0017111); NR=PREDICTED: ATPase family AAA domain-containing protein 3-like [Elaeis guineensis]; Swissprot=ATPase family AAA domain-containing protein 3-B OS=Xenopus laevis GN=atad3-b PE=2 SV=1; KEGG=ATPase family AAA domain-containing protein 3-like; K17681 ATPase family AAA domain-containing protein 3A/B (A); IPRSCAN=IPR003593 AAA+ ATPase domain IPR021911 ATPase family AAA domain-containing protein 3, domain of unknown function DUF3523 IPR003959 ATPase, AAA-type, core NULL NULL NULL NULL</t>
  </si>
  <si>
    <t>[translated] | GO=Cellular Component: integral to membrane (GO:0016021); NR=PREDICTED: heptahelical transmembrane protein ADIPOR1-like [Musa acuminata subsp. malaccensis]; Swissprot=Heptahelical transmembrane protein ADIPOR1 OS=Oryza sativa subsp. japonica GN=ADIPOR1 PE=2 SV=1; KEGG=heptahelical transmembrane protein ADIPOR1-like; K07297 adiponectin receptor (A); IPRSCAN=IPR004254 Hly-III-related NULL NULL IPR004254 Hly-III-related</t>
  </si>
  <si>
    <t>[translated] | NR=PREDICTED: putative protein TPRXL [Vitis vinifera]</t>
  </si>
  <si>
    <t>[translated] | NR=hypothetical protein, partial [Gemmata obscuriglobus]; KEGG=uncharacterized LOC105771841; K12812 ATP-dependent RNA helicase UAP56/SUB2 [EC:3.6.4.13] (A); IPRSCAN=NULL NULL NULL NULL IPR021864 Protein of unknown function DUF3475</t>
  </si>
  <si>
    <t>[translated] | NR=PREDICTED: early nodulin-93-like [Phoenix dactylifera]; Swissprot=Early nodulin-93 OS=Glycine max PE=2 SV=1; IPRSCAN=IPR005050 Early nodulin 93 ENOD93 protein IPR005050 Early nodulin 93 ENOD93 protein</t>
  </si>
  <si>
    <t>[translated] | GO=Molecular Function: protein kinase activity (GO:0004672),Molecular Function: protein tyrosine kinase activity (GO:0004713),Molecular Function: protein binding (GO:0005515),Molecular Function: ATP binding (GO:0005524),Biological Process: protein phosphorylation (GO:0006468); NR=PREDICTED: probable leucine-rich repeat receptor-like protein kinase At1g68400 [Elaeis guineensis]; Swissprot=Probable leucine-rich repeat receptor-like protein kinase At1g68400 OS=Arabidopsis thaliana GN=At1g68400 PE=2 SV=1; KEGG=probable inactive receptor kinase At2g26730; K04730 interleukin-1 receptor-associated kinase 1 [EC:2.7.11.1] (A); IPRSCAN=IPR002290 Serine/threonine- / dual specificity protein kinase, catalytic  domain IPR020635 Tyrosine-protein kinase, catalytic domain IPR001245 Serine-threonine/tyrosine-protein kinase catalytic domain NULL NULL IPR013210 Leucine-rich repeat-containing N-terminal, type 2 IPR001611 Leucine-rich repeat NULL NULL NULL NULL IPR000719 Protein kinase domain IPR001611 Leucine-rich repeat IPR001611 Leucine-rich repeat IPR001611 Leucine-rich repeat IPR001611 Leucine-rich repeat</t>
  </si>
  <si>
    <t>[translated] | GO=Molecular Function: peptidyl-prolyl cis-trans isomerase activity (GO:0003755),Biological Process: protein folding (GO:0006457); NR=PREDICTED: peptidyl-prolyl cis-trans isomerase CYP57 [Phoenix dactylifera]; Swissprot=Peptidyl-prolyl cis-trans isomerase CYP57 OS=Arabidopsis thaliana GN=CYP57 PE=1 SV=1; KEGG=peptidyl-prolyl cis-trans isomerase CYP57; K12737 peptidyl-prolyl cis-trans isomerase SDCCAG10 [EC:5.2.1.8] (A); IPRSCAN=IPR002130 Cyclophilin-like peptidyl-prolyl cis-trans isomerase domain IPR002130 Cyclophilin-like peptidyl-prolyl cis-trans isomerase domain NULL NULL NULL NULL IPR002130 Cyclophilin-like peptidyl-prolyl cis-trans isomerase domain IPR002130 Cyclophilin-like peptidyl-prolyl cis-trans isomerase domain IPR002130 Cyclophilin-like peptidyl-prolyl cis-trans isomerase domain IPR002130 Cyclophilin-like peptidyl-prolyl cis-trans isomerase domain</t>
  </si>
  <si>
    <t>[translated] | NR=PREDICTED: glucan endo-1,3-beta-glucosidase 9 isoform X1 [Beta vulgaris subsp. vulgaris]; Swissprot=Glucan endo-1,3-beta-glucosidase 9 OS=Arabidopsis thaliana GN=At5g58480 PE=1 SV=1; KEGG=hypothetical protein; K13098 RNA-binding protein FUS (A); IPRSCAN=IPR012946 X8 IPR012946 X8 NULL NULL NULL NULL</t>
  </si>
  <si>
    <t>[translated] | GO=Molecular Function: DNA binding (GO:0003677); NR=PREDICTED: uncharacterized protein LOC103969094 isoform X3 [Musa acuminata subsp. malaccensis]; Swissprot=Sister chromatid cohesion protein PDS5 homolog B-B OS=Xenopus laevis GN=pds5b-b PE=2 SV=2; KEGG=sister chromatid cohesion protein PDS5 homolog A; K11267 sister chromatid cohesion protein PDS5 (A); IPRSCAN=IPR017956 AT hook, DNA-binding motif IPR017956 AT hook, DNA-binding motif IPR017956 AT hook, DNA-binding motif IPR017956 AT hook, DNA-binding motif IPR017956 AT hook, DNA-binding motif IPR017956 AT hook, DNA-binding motif IPR017956 AT hook, DNA-binding motif NULL NULL IPR017956 AT hook, DNA-binding motif IPR017956 AT hook, DNA-binding motif IPR017956 AT hook, DNA-binding motif IPR017956 AT hook, DNA-binding motif IPR017956 AT hook, DNA-binding motif IPR017956 AT hook, DNA-binding motif IPR017956 AT hook, DNA-binding motif</t>
  </si>
  <si>
    <t>[translated] | NR=PREDICTED: uncharacterized protein LOC103697355 [Phoenix dactylifera]; Swissprot=Fructose-2,6-bisphosphatase TIGAR B OS=Danio rerio GN=tigarb PE=1 SV=2; KEGG=hypothetical protein; K14634 fructose-2,6-bisphosphatase [EC:3.1.3.46] (A); IPRSCAN=NULL NULL NULL NULL IPR013078 Histidine phosphatase superfamily, clade-1 IPR013078 Histidine phosphatase superfamily, clade-1</t>
  </si>
  <si>
    <t>[translated] | GO=Molecular Function: protein kinase activity (GO:0004672),Molecular Function: protein tyrosine kinase activity (GO:0004713),Molecular Function: ATP binding (GO:0005524),Biological Process: protein phosphorylation (GO:0006468); NR=PREDICTED: probable receptor-like protein kinase At5g47070 isoform X2 [Elaeis guineensis]; Swissprot=Probable receptor-like protein kinase At5g47070 OS=Arabidopsis thaliana GN=At5g47070 PE=1 SV=1; KEGG=probable receptor-like protein kinase At5g47070; K04733 interleukin-1 receptor-associated kinase 4 [EC:2.7.11.1] (A); IPRSCAN=IPR000719 Protein kinase domain IPR002290 Serine/threonine- / dual specificity protein kinase, catalytic  domain IPR020635 Tyrosine-protein kinase, catalytic domain IPR000719 Protein kinase domain NULL NULL NULL NULL</t>
  </si>
  <si>
    <t>[translated] | GO=Molecular Function: protein binding (GO:0005515); NR=PREDICTED: lys-63-specific deubiquitinase BRCC36 isoform X1 [Phoenix dactylifera]; Swissprot=Lys-63-specific deubiquitinase BRCC36 OS=Xenopus tropicalis GN=brcc3 PE=2 SV=1; KEGG=lys-63-specific deubiquitinase BRCC36; K11864 BRCA1/BRCA2-containing complex subunit 3 (A); IPRSCAN=IPR000555 JAB/MPN domain IPR000555 JAB/MPN domain NULL NULL NULL NULL</t>
  </si>
  <si>
    <t>[translated] | GO=Molecular Function: protein binding (GO:0005515); NR=PREDICTED: DNA-damage-repair/toleration protein DRT100-like [Sesamum indicum]; Swissprot=DNA-damage-repair/toleration protein DRT100 OS=Arabidopsis thaliana GN=DRT100 PE=2 SV=2; KEGG=LRR receptor-like serine/threonine-protein kinase FLS2; K13420 LRR receptor-like serine/threonine-protein kinase FLS2 [EC:2.7.11.1] (A); IPRSCAN=IPR001611 Leucine-rich repeat IPR001611 Leucine-rich repeat IPR001611 Leucine-rich repeat NULL NULL NULL NULL NULL NULL NULL NULL NULL NULL</t>
  </si>
  <si>
    <t>[translated] | GO=Molecular Function: electron carrier activity (GO:0009055),Cellular Component: membrane (GO:0016020),Molecular Function: oxidoreductase activity (GO:0016491),Biological Process: respiratory electron transport chain (GO:0022904); NR=cytochrome b6/f complex subunit D (chloroplast) [Japonolirion osense]; Swissprot=Cytochrome b6-f complex subunit 4 OS=Drimys granadensis GN=petD PE=3 SV=1; KEGG=petD, ElguCp072; cytochrome b6/f complex subunit IV; K02637 cytochrome b6-f complex subunit 4 (A); IPRSCAN=IPR016175 Cytochrome b/b6 IPR005798 Cytochrome b/b6, C-terminal IPR005798 Cytochrome b/b6, C-terminal</t>
  </si>
  <si>
    <t>[translated] | NR=Thiamine pyrophosphate dependent pyruvate decarboxylase family protein [Theobroma cacao]; KEGG=Thiamine pyrophosphate dependent pyruvate decarboxylase family protein; K01568 pyruvate decarboxylase [EC:4.1.1.1] (A)</t>
  </si>
  <si>
    <t>[translated] | GO=Molecular Function: magnesium ion binding (GO:0000287),Molecular Function: pyruvate kinase activity (GO:0004743),Biological Process: glycolysis (GO:0006096),Molecular Function: potassium ion binding (GO:0030955); NR=PREDICTED: pyruvate kinase, cytosolic isozyme [Phoenix dactylifera]; Swissprot=Pyruvate kinase, cytosolic isozyme OS=Solanum tuberosum PE=2 SV=1; KEGG=pyruvate kinase, cytosolic isozyme; K00873 pyruvate kinase [EC:2.7.1.40] (A); IPRSCAN=NULL NULL IPR001697 Pyruvate kinase IPR015793 Pyruvate kinase, barrel</t>
  </si>
  <si>
    <t>[translated] | GO=Molecular Function: protein kinase activity (GO:0004672),Molecular Function: protein tyrosine kinase activity (GO:0004713),Molecular Function: ATP binding (GO:0005524),Biological Process: protein phosphorylation (GO:0006468); NR=PREDICTED: mitogen-activated protein kinase kinase kinase YODA-like isoform X1 [Elaeis guineensis]; Swissprot=Mitogen-activated protein kinase kinase kinase YODA OS=Arabidopsis thaliana GN=YDA PE=1 SV=1; KEGG=mitogen-activated protein kinase kinase kinase YODA-like; K04420 mitogen-activated protein kinase kinase kinase 2 [EC:2.7.11.25] (A); IPRSCAN=IPR002290 Serine/threonine- / dual specificity protein kinase, catalytic  domain IPR020635 Tyrosine-protein kinase, catalytic domain IPR000719 Protein kinase domain IPR000719 Protein kinase domain NULL NULL NULL NULL</t>
  </si>
  <si>
    <t>[translated] | NR=PREDICTED: ankyrin repeat protein SKIP35-like [Musa acuminata subsp. malaccensis]; Swissprot=Ankyrin repeat protein SKIP35 OS=Arabidopsis thaliana GN=SKIP35 PE=1 SV=1</t>
  </si>
  <si>
    <t>[translated] | GO=Biological Process: intracellular protein transport (GO:0006886),Cellular Component: membrane (GO:0016020); NR=PREDICTED: vesicle transport v-SNARE 13, partial [Amborella trichopoda]; Swissprot=Vesicle transport v-SNARE 13 OS=Arabidopsis thaliana GN=VTI13 PE=2 SV=1; KEGG=vesicle transport v-SNARE 13; K08493 vesicle transport through interaction with t-SNAREs 1 (A); IPRSCAN=IPR007705 Vesicle transport v-SNARE, N-terminal NULL NULL NULL NULL</t>
  </si>
  <si>
    <t>[translated] | GO=Molecular Function: translation elongation factor activity (GO:0003746),Cellular Component: eukaryotic translation elongation factor 1 complex (GO:0005853),Biological Process: translational elongation (GO:0006414); NR=RecName: Full=Elongation factor 1-delta; Short=EF-1-delta; AltName: Full=Elongation factor 1B-beta; AltName: Full=eEF-1B beta [Spuriopimpinella brachycarpa]; Swissprot=Elongation factor 1-delta OS=Pimpinella brachycarpa PE=2 SV=3; KEGG=elongation factor 1-delta 1-like; K03232 elongation factor 1-beta (A); IPRSCAN=IPR014038 Translation elongation factor EF1B, beta/delta subunit, guanine nucleotide exchange IPR014038 Translation elongation factor EF1B, beta/delta subunit, guanine nucleotide exchange NULL NULL NULL NULL</t>
  </si>
  <si>
    <t>[translated] | GO=Molecular Function: hydrolase activity (GO:0016787); NR=PREDICTED: acyl-protein thioesterase 2 isoform X2 [Elaeis guineensis]; Swissprot=Acyl-protein thioesterase 1 homolog 1 OS=Dictyostelium discoideum GN=DDB_G0282005 PE=2 SV=1; KEGG=acyl-protein thioesterase 2; K06130 lysophospholipase II [EC:3.1.1.5] (A); IPRSCAN=IPR003140 Phospholipase/carboxylesterase/thioesterase NULL NULL NULL NULL</t>
  </si>
  <si>
    <t>[translated] | NR=hypothetical protein M569_13942, partial [Genlisea aurea]; Swissprot=Pyruvate, phosphate dikinase, chloroplastic OS=Flaveria trinervia GN=PPDK PE=2 SV=2; KEGG=pyruvate, phosphate dikinase, chloroplastic; K01006 pyruvate, orthophosphate dikinase [EC:2.7.9.1] (A)</t>
  </si>
  <si>
    <t>[translated] | GO=Biological Process: biosynthetic process (GO:0009058),Molecular Function: transferase activity, transferring acyl groups (GO:0016746); NR=Chalcone and stilbene synthase family protein [Theobroma cacao]; Swissprot=Type III polyketide synthase A OS=Arabidopsis thaliana GN=PKSA PE=1 SV=1; KEGG=probable inorganic phosphate transporter 1-3; K08176 MFS transporter, PHS family, inorganic phosphate transporter (A); IPRSCAN=IPR001099 Chalcone/stilbene synthase, N-terminal IPR001099 Chalcone/stilbene synthase, N-terminal IPR012328 Chalcone/stilbene synthase, C-terminal NULL NULL NULL NULL</t>
  </si>
  <si>
    <t>[translated] | GO=Biological Process: metabolic process (GO:0008152),Molecular Function: transferase activity, transferring hexosyl groups (GO:0016758); NR=PREDICTED: scopoletin glucosyltransferase-like [Nelumbo nucifera]; Swissprot=Scopoletin glucosyltransferase OS=Nicotiana tabacum GN=TOGT1 PE=1 SV=1; KEGG=UDP-glycosyltransferase 73C1-like; K13496 UDP-glucosyl transferase 73C [EC:2.4.1.-] (A); IPRSCAN=NULL NULL IPR002213 UDP-glucuronosyl/UDP-glucosyltransferase</t>
  </si>
  <si>
    <t>[translated] | GO=Molecular Function: ribokinase activity (GO:0004747),Biological Process: D-ribose metabolic process (GO:0006014); NR=PREDICTED: ribokinase {ECO:0000312|EMBL:AAH23339.1} [Musa acuminata subsp. malaccensis]; Swissprot=Ribokinase OS=Mus musculus GN=Rbks PE=2 SV=1; KEGG=KHK; ketohexokinase (fructokinase); K00846 ketohexokinase [EC:2.7.1.3] (A); IPRSCAN=NULL NULL NULL NULL IPR011611 Carbohydrate kinase PfkB IPR011611 Carbohydrate kinase PfkB IPR002139 Ribokinase IPR002139 Ribokinase IPR002139 Ribokinase IPR002139 Ribokinase</t>
  </si>
  <si>
    <t>[translated] | GO=Molecular Function: hydrolase activity, hydrolyzing O-glycosyl compounds (GO:0004553),Molecular Function: beta-N-acetylhexosaminidase activity (GO:0004563),Biological Process: carbohydrate metabolic process (GO:0005975); NR=PREDICTED: beta-hexosaminidase 2 [Elaeis guineensis]; Swissprot=Beta-hexosaminidase 2 OS=Arabidopsis thaliana GN=HEXO2 PE=1 SV=1; KEGG=beta-hexosaminidase 2; K12373 hexosaminidase [EC:3.2.1.52] (A); IPRSCAN=NULL NULL IPR025705 Beta-hexosaminidase subunit alpha/beta IPR025705 Beta-hexosaminidase subunit alpha/beta IPR025705 Beta-hexosaminidase subunit alpha/beta IPR025705 Beta-hexosaminidase subunit alpha/beta IPR025705 Beta-hexosaminidase subunit alpha/beta IPR025705 Beta-hexosaminidase subunit alpha/beta IPR025705 Beta-hexosaminidase subunit alpha/beta IPR025705 Beta-hexosaminidase subunit alpha/beta IPR015883 Glycoside hydrolase family 20, catalytic core NULL NULL</t>
  </si>
  <si>
    <t>[translated] | GO=Molecular Function: iron ion binding (GO:0005506),Molecular Function: oxidoreductase activity (GO:0016491),Molecular Function: oxidoreductase activity, acting on paired donors, with incorporation or reduction of molecular oxygen (GO:0016705),Molecular Function: oxidoreductase activity, acting on paired donors, with incorporation or reduction of molecular oxygen, 2-oxoglutarate as one donor, and incorporation of one atom each of oxygen into both donors (GO:0016706),Molecular Function: L-ascorbic acid binding (GO:0031418),Biological Process: oxidation-reduction process (GO:0055114); NR=PREDICTED: probable prolyl 4-hydroxylase 7 [Eucalyptus grandis]; Swissprot=Probable prolyl 4-hydroxylase 7 OS=Arabidopsis thaliana GN=P4H7 PE=2 SV=1; KEGG=probable prolyl 4-hydroxylase 7; K00472 prolyl 4-hydroxylase [EC:1.14.11.2] (A); IPRSCAN=IPR006620 Prolyl 4-hydroxylase, alpha subunit IPR003582 Metridin-like ShK toxin NULL NULL IPR005123 Oxoglutarate/iron-dependent dioxygenase IPR005123 Oxoglutarate/iron-dependent dioxygenase IPR003582 Metridin-like ShK toxin</t>
  </si>
  <si>
    <t>[translated] | GO=Molecular Function: microtubule motor activity (GO:0003777),Molecular Function: ATP binding (GO:0005524),Cellular Component: kinesin complex (GO:0005871),Biological Process: microtubule-based movement (GO:0007018),Molecular Function: microtubule binding (GO:0008017); NR=PREDICTED: kinesin-5 isoform X2 [Elaeis guineensis]; Swissprot=Kinesin-5 OS=Arabidopsis thaliana GN=ATK5 PE=2 SV=1; KEGG=kinesin-5; K10405 kinesin family member C1 (A); IPRSCAN=IPR001752 Kinesin, motor domain IPR001752 Kinesin, motor domain NULL NULL IPR027640 Kinesin-like protein IPR001752 Kinesin, motor domain IPR001752 Kinesin, motor domain IPR001752 Kinesin, motor domain IPR001752 Kinesin, motor domain IPR001752 Kinesin, motor domain</t>
  </si>
  <si>
    <t>[translated] | GO=Molecular Function: nucleotide binding (GO:0000166),Molecular Function: ATP binding (GO:0005524),Molecular Function: nucleoside-triphosphatase activity (GO:0017111); NR=PREDICTED: cell division control protein 48 homolog C [Elaeis guineensis]; Swissprot=Cell division control protein 48 homolog C OS=Arabidopsis thaliana GN=CDC48C PE=2 SV=2; KEGG=cell division control protein 48 homolog C; K14571 ribosome biogenesis ATPase (A); IPRSCAN=IPR003959 ATPase, AAA-type, core IPR003593 AAA+ ATPase domain NULL NULL NULL NULL</t>
  </si>
  <si>
    <t>[translated] | GO=Molecular Function: protein binding (GO:0005515),Molecular Function: zinc ion binding (GO:0008270); NR=PREDICTED: RING-H2 finger protein ATL64-like [Phoenix dactylifera]; Swissprot=RING-H2 finger protein ATL2 OS=Arabidopsis thaliana GN=ATL2 PE=2 SV=2; KEGG=putative RING-H2 finger protein ATL12; K10664 E3 ubiquitin-protein ligase ATL6/9/15/31/42/55 [EC:2.3.2.27] (A); IPRSCAN=NULL NULL IPR001841 Zinc finger, RING-type IPR001841 Zinc finger, RING-type IPR001841 Zinc finger, RING-type</t>
  </si>
  <si>
    <t>[translated] | NR=PREDICTED: aspartic proteinase Asp1-like [Musa acuminata subsp. malaccensis]; Swissprot=Aspartic proteinase Asp1 OS=Oryza sativa subsp. indica GN=ASP1 PE=2 SV=2; KEGG=Eukaryotic aspartyl protease family protein isoform 1; K00924 [EC:2.7.1.-] (A); IPRSCAN=NULL NULL</t>
  </si>
  <si>
    <t>[translated] | GO=Molecular Function: ATP binding (GO:0005524),Biological Process: metabolic process (GO:0008152),Molecular Function: kinase activity (GO:0016301); NR=unknown [Lotus japonicus]; Swissprot=Phosphoribulokinase, chloroplastic OS=Mesembryanthemum crystallinum PE=2 SV=1; KEGG=phosphoribulokinase, chloroplastic; K00855 phosphoribulokinase [EC:2.7.1.19] (A); IPRSCAN=NULL NULL NULL NULL IPR006083 Phosphoribulokinase/uridine kinase</t>
  </si>
  <si>
    <t>[translated] | GO=Molecular Function: ubiquitin thiolesterase activity (GO:0004221),Biological Process: ubiquitin-dependent protein catabolic process (GO:0006511); NR=PREDICTED: ubiquitin carboxyl-terminal hydrolase 24-like [Musa acuminata subsp. malaccensis]; Swissprot=Ubiquitin carboxyl-terminal hydrolase 24 OS=Arabidopsis thaliana GN=UBP24 PE=1 SV=1; KEGG=ubiquitin carboxyl-terminal hydrolase 24-like; K11841 ubiquitin carboxyl-terminal hydrolase 10 [EC:3.4.19.12] (A); IPRSCAN=NULL NULL NULL NULL IPR001394 Ubiquitin carboxyl-terminal hydrolases family 2 IPR001394 Ubiquitin carboxyl-terminal hydrolases family 2</t>
  </si>
  <si>
    <t>[translated] | NR=PREDICTED: U5 small nuclear ribonucleoprotein 200 kDa helicase-like [Elaeis guineensis]; Swissprot=Putative U5 small nuclear ribonucleoprotein 200 kDa helicase OS=Drosophila melanogaster GN=l(3)72Ab PE=2 SV=4; KEGG=U5 small nuclear ribonucleoprotein 200 kDa helicase-like; K12854 pre-mRNA-splicing helicase BRR2 [EC:3.6.4.13] (A); IPRSCAN=NULL NULL NULL NULL</t>
  </si>
  <si>
    <t>[translated] | GO=Molecular Function: serine-type endopeptidase activity (GO:0004252),Biological Process: proteolysis (GO:0006508),Molecular Function: identical protein binding (GO:0042802),Biological Process: negative regulation of catalytic activity (GO:0043086); NR=PREDICTED: subtilisin-like protease [Elaeis guineensis]; Swissprot=Subtilisin-like protease SBT1.6 OS=Arabidopsis thaliana GN=SBT1.6 PE=2 SV=1; KEGG=peptidase, putative (EC:3.4.21.25); K18443 golgi-specific brefeldin A-resistance guanine nucleotide exchange factor 1 (A); IPRSCAN=IPR000209 Peptidase S8/S53 domain IPR010259 Proteinase inhibitor I9 IPR003137 Protease-associated domain, PA IPR015500 Peptidase S8, subtilisin-related IPR015500 Peptidase S8, subtilisin-related IPR015500 Peptidase S8, subtilisin-related NULL NULL IPR015500 Peptidase S8, subtilisin-related</t>
  </si>
  <si>
    <t>[translated] | GO=Molecular Function: protein binding (GO:0005515); NR=PREDICTED: WD repeat-containing protein 53 isoform X1 [Elaeis guineensis]; Swissprot=WD repeat-containing protein 53 OS=Bos taurus GN=WDR53 PE=2 SV=1; KEGG=cellulose synthase A catalytic subunit 8 [UDP-forming]; K10999 cellulose synthase A [EC:2.4.1.12] (A); IPRSCAN=IPR001680 WD40 repeat IPR017986 WD40-repeat-containing domain IPR017986 WD40-repeat-containing domain NULL NULL NULL NULL IPR001680 WD40 repeat IPR001680 WD40 repeat IPR001680 WD40 repeat IPR001680 WD40 repeat IPR001680 WD40 repeat IPR001680 WD40 repeat IPR001680 WD40 repeat IPR001680 WD40 repeat</t>
  </si>
  <si>
    <t>[translated] | GO=Molecular Function: nucleic acid binding (GO:0003676); NR=PREDICTED: polyadenylate-binding protein-interacting protein 8-like [Musa acuminata subsp. malaccensis]; Swissprot=Polyadenylate-binding protein-interacting protein 9 OS=Arabidopsis thaliana GN=CID9 PE=3 SV=1; KEGG=hypothetical protein; K13126 polyadenylate-binding protein (A); IPRSCAN=IPR000504 RNA recognition motif domain IPR000504 RNA recognition motif domain IPR000504 RNA recognition motif domain IPR000504 RNA recognition motif domain NULL NULL NULL NULL IPR000504 RNA recognition motif domain IPR000504 RNA recognition motif domain IPR009818 Ataxin-2, C-terminal</t>
  </si>
  <si>
    <t>[translated] | GO=Cellular Component: mitochondrial inner membrane presequence translocase complex (GO:0005744),Biological Process: intracellular protein transport (GO:0006886),Molecular Function: P-P-bond-hydrolysis-driven protein transmembrane transporter activity (GO:0015450); NR=PREDICTED: mitochondrial import inner membrane translocase subunit TIM17-2-like [Musa acuminata subsp. malaccensis]; Swissprot=Mitochondrial import inner membrane translocase subunit TIM17-2 OS=Arabidopsis thaliana GN=TIM17-2 PE=1 SV=2; KEGG=mitochondrial import inner membrane translocase subunit TIM17-2-like; K17795 mitochondrial import inner membrane translocase subunit TIM17 (A); IPRSCAN=IPR005678 Mitochondrial inner membrane translocase complex, subunit Tim17 NULL NULL IPR003397 Mitochondrial inner membrane translocase subunit Tim17/Tim22/Tim23/peroxisomal protein PMP24</t>
  </si>
  <si>
    <t>[translated] | GO=Molecular Function: transferase activity, transferring acyl groups other than amino-acyl groups (GO:0016747); NR=PREDICTED: malonyl-coenzyme A:anthocyanin 3-O-glucoside-6''-O-malonyltransferase-like [Phoenix dactylifera]; Swissprot=Coumaroyl-CoA:anthocyanidin 3-O-glucoside-6''-O-coumaroyltransferase 1 OS=Arabidopsis thaliana GN=3AT1 PE=1 SV=1; KEGG=hypothetical protein; K14329 agmatine coumaroyltransferase [EC:2.3.1.64 2.3.1.-] (A); IPRSCAN=NULL NULL NULL NULL IPR003480 Transferase</t>
  </si>
  <si>
    <t>[translated] | NR=Arrestin domain-containing protein A [Morus notabilis]</t>
  </si>
  <si>
    <t>[translated] | GO=Cellular Component: membrane (GO:0016020),Cellular Component: integral to membrane (GO:0016021),Molecular Function: transmembrane transporter activity (GO:0022857),Molecular Function: substrate-specific transmembrane transporter activity (GO:0022891),Biological Process: transmembrane transport (GO:0055085); NR=PREDICTED: probable plastidic glucose transporter 2 [Elaeis guineensis]; Swissprot=Probable plastidic glucose transporter 2 OS=Arabidopsis thaliana GN=At1g67300 PE=2 SV=1; KEGG=sugar transporter ERD6-like 6; K08145 MFS transporter, SP family, solute carrier family 2 (facilitated glucose transporter), member 8 (A); IPRSCAN=IPR003663 Sugar/inositol transporter IPR003663 Sugar/inositol transporter IPR003663 Sugar/inositol transporter IPR003663 Sugar/inositol transporter IPR003663 Sugar/inositol transporter IPR005828 General substrate transporter NULL NULL NULL NULL IPR020846 Major facilitator superfamily domain</t>
  </si>
  <si>
    <t>[translated] | GO=Molecular Function: iron ion binding (GO:0005506),Molecular Function: protein binding (GO:0005515),Molecular Function: lipoxygenase activity (GO:0016165),Molecular Function: oxidoreductase activity, acting on single donors with incorporation of molecular oxygen, incorporation of two atoms of oxygen (GO:0016702),Molecular Function: metal ion binding (GO:0046872),Biological Process: oxidation-reduction process (GO:0055114); NR=PREDICTED: probable linoleate 9S-lipoxygenase 5 [Musa acuminata subsp. malaccensis]; Swissprot=Linoleate 9S-lipoxygenase 6 (Fragment) OS=Solanum tuberosum GN=LOX1.6 PE=1 SV=1; KEGG=probable linoleate 9S-lipoxygenase 5; K15718 linoleate 9S-lipoxygenase [EC:1.13.11.58] (A); IPRSCAN=IPR001024 PLAT/LH2 domain IPR013819 Lipoxygenase, C-terminal NULL NULL IPR000907 Lipoxygenase IPR001024 PLAT/LH2 domain IPR001246 Lipoxygenase, plant IPR001246 Lipoxygenase, plant IPR001246 Lipoxygenase, plant IPR001246 Lipoxygenase, plant IPR001246 Lipoxygenase, plant IPR001246 Lipoxygenase, plant IPR001246 Lipoxygenase, plant IPR013819 Lipoxygenase, C-terminal IPR013819 Lipoxygenase, C-terminal IPR013819 Lipoxygenase, C-terminal IPR013819 Lipoxygenase, C-terminal IPR013819 Lipoxygenase, C-terminal IPR001024 PLAT/LH2 domain</t>
  </si>
  <si>
    <t>[translated] | NR=hypothetical protein B456_013G224300 [Gossypium raimondii]</t>
  </si>
  <si>
    <t>[translated] | GO=Molecular Function: DNA binding (GO:0003677),Biological Process: regulation of transcription, DNA-dependent (GO:0006355); NR=PREDICTED: NAC transcription factor 29-like [Phoenix dactylifera]; Swissprot=NAC transcription factor 56 OS=Arabidopsis thaliana GN=NAC056 PE=2 SV=1; KEGG=NAC domain-containing protein 89-like; K12581 CCR4-NOT transcription complex subunit 7/8 (A); IPRSCAN=IPR003441 NAC domain NULL NULL NULL NULL IPR003441 NAC domain</t>
  </si>
  <si>
    <t>[translated] | NR=PREDICTED: uncharacterized protein LOC103716725 [Phoenix dactylifera]</t>
  </si>
  <si>
    <t>[translated] | GO=Molecular Function: ubiquitin-protein ligase activity (GO:0004842),Molecular Function: protein binding (GO:0005515); NR=PREDICTED: E3 ubiquitin-protein ligase UPL2-like isoform X1 [Phoenix dactylifera]; Swissprot=E3 ubiquitin-protein ligase UPL2 OS=Arabidopsis thaliana GN=UPL2 PE=1 SV=3; KEGG=E3 ubiquitin-protein ligase UPL2-like; K10592 E3 ubiquitin-protein ligase HUWE1 [EC:2.3.2.26] (A); IPRSCAN=IPR015940 Ubiquitin-associated/translation elongation factor EF1B, N-terminal, eukaryote IPR000569 HECT IPR003903 Ubiquitin interacting motif IPR015940 Ubiquitin-associated/translation elongation factor EF1B, N-terminal, eukaryote IPR000569 HECT NULL NULL IPR000569 HECT IPR010314 E3 ubiquitin ligase, domain of unknown function DUF913 IPR010309 E3 ubiquitin ligase, domain of unknown function DUF908 IPR025527 Domain of unknown function DUF4414 IPR000449 Ubiquitin-associated domain/translation elongation factor EF-Ts, N-terminal</t>
  </si>
  <si>
    <t>[translated] | NR=PREDICTED: cytochrome P450 86B1-like [Phoenix dactylifera]; Swissprot=Cytochrome P450 86B1 OS=Arabidopsis thaliana GN=CYP86B1 PE=2 SV=1; KEGG=cytochrome P450 86B1; K15402 fatty acid omega-hydroxylase [EC:1.14.-.-] (A); IPRSCAN=NULL NULL</t>
  </si>
  <si>
    <t>[translated] | GO=Molecular Function: potassium ion transmembrane transporter activity (GO:0015079),Cellular Component: membrane (GO:0016020),Biological Process: potassium ion transmembrane transport (GO:0071805); NR=PREDICTED: potassium transporter 7-like isoform X1 [Elaeis guineensis]; Swissprot=Potassium transporter 7 OS=Arabidopsis thaliana GN=POT7 PE=1 SV=2; KEGG=putative potassium transporter 12; K03549 KUP system potassium uptake protein (A); IPRSCAN=NULL NULL NULL NULL IPR003855 K+ potassium transporter IPR020683 Ankyrin repeat-containing domain</t>
  </si>
  <si>
    <t>[translated] | GO=Biological Process: metabolic process (GO:0008152),Molecular Function: oxidoreductase activity (GO:0016491); NR=PREDICTED: zeaxanthin epoxidase, chloroplastic-like [Musa acuminata subsp. malaccensis]; Swissprot=2-heptyl-3-hydroxy-4(1H)-quinolone synthase OS=Pseudomonas aeruginosa (strain ATCC 15692 / PAO1 / 1C / PRS 101 / LMG 12228) GN=pqsH PE=3 SV=1; KEGG=uncharacterized LOC103503469; K00480 salicylate hydroxylase [EC:1.14.13.1] (A); IPRSCAN=IPR003042 Aromatic-ring hydroxylase-like IPR003042 Aromatic-ring hydroxylase-like IPR003042 Aromatic-ring hydroxylase-like IPR003042 Aromatic-ring hydroxylase-like NULL NULL NULL NULL IPR002938 Monooxygenase, FAD-binding IPR002938 Monooxygenase, FAD-binding</t>
  </si>
  <si>
    <t>[translated] | NR=hypothetical protein EUGRSUZ_F03347 [Eucalyptus grandis]; IPRSCAN=NULL NULL NULL NULL IPR009646 Root cap</t>
  </si>
  <si>
    <t>[translated] | NR=PREDICTED: NADH dehydrogenase [ubiquinone] 1 beta subcomplex subunit 3-B [Vitis vinifera]; Swissprot=NADH dehydrogenase [ubiquinone] 1 beta subcomplex subunit 3-B OS=Arabidopsis thaliana GN=At1g14450 PE=3 SV=1</t>
  </si>
  <si>
    <t>[translated] | GO=Molecular Function: protein kinase activity (GO:0004672),Biological Process: protein phosphorylation (GO:0006468); NR=PREDICTED: probable receptor-like protein kinase At5g18500 [Populus euphratica]; Swissprot=Probable receptor-like protein kinase At2g42960 OS=Arabidopsis thaliana GN=At2g42960 PE=3 SV=1; KEGG=SORBIDRAFT_01g030700, Sb01g030700; hypothetical protein; K04730 interleukin-1 receptor-associated kinase 1 [EC:2.7.11.1] (A); IPRSCAN=IPR001245 Serine-threonine/tyrosine-protein kinase catalytic domain NULL NULL NULL NULL</t>
  </si>
  <si>
    <t>[translated] | NR=PREDICTED: heat shock cognate 70 kDa protein 2-like [Phoenix dactylifera]; Swissprot=Heat shock cognate 70 kDa protein OS=Petunia hybrida GN=HSP70 PE=2 SV=1; KEGG=heat shock cognate 70 kDa protein 2-like; K03283 heat shock 70kDa protein 1/8 (A); IPRSCAN=NULL NULL IPR013126 Heat shock protein 70 family IPR013126 Heat shock protein 70 family IPR013126 Heat shock protein 70 family IPR013126 Heat shock protein 70 family IPR013126 Heat shock protein 70 family IPR013126 Heat shock protein 70 family</t>
  </si>
  <si>
    <t>[translated] | GO=Cellular Component: integral to membrane (GO:0016021),Molecular Function: transmembrane transporter activity (GO:0022857),Biological Process: transmembrane transport (GO:0055085); NR=PREDICTED: organic cation/carnitine transporter 2-like [Phoenix dactylifera]; Swissprot=Organic cation/carnitine transporter 2 OS=Arabidopsis thaliana GN=OCT2 PE=2 SV=1; KEGG=GRMZM2G019974; carbohydrate transporter/ sugar porter; K08200 MFS transporter, OCT family, solute carrier family 22 (organic cation transporter), member 3 (A); IPRSCAN=IPR005828 General substrate transporter NULL NULL NULL NULL</t>
  </si>
  <si>
    <t>[translated] | GO=Cellular Component: intracellular (GO:0005622),Molecular Function: zinc ion binding (GO:0008270); NR=PREDICTED: zinc finger protein CONSTANS-LIKE 16-like [Nicotiana tomentosiformis]; Swissprot=Zinc finger protein CONSTANS-LIKE 16 OS=Arabidopsis thaliana GN=COL16 PE=2 SV=2; KEGG=CO; zinc finger protein CONSTANS; K12135 zinc finger protein CONSTANS (A); IPRSCAN=NULL NULL IPR000315 Zinc finger, B-box IPR000315 Zinc finger, B-box</t>
  </si>
  <si>
    <t>[translated] | GO=Molecular Function: hydrolase activity, hydrolyzing O-glycosyl compounds (GO:0004553),Biological Process: carbohydrate metabolic process (GO:0005975); NR=Os07g0577300 [Oryza sativa Japonica Group]; Swissprot=Glucan endo-1,3-beta-glucosidase 1 OS=Arabidopsis thaliana GN=At1g11820 PE=1 SV=3; KEGG=Os07g0577300; K19892 glucan endo-1,3-beta-glucosidase 4 [EC:3.2.1.39] (A); IPRSCAN=IPR012946 X8 NULL NULL NULL NULL IPR012946 X8 IPR000490 Glycoside hydrolase, family 17</t>
  </si>
  <si>
    <t>[translated] | GO=Molecular Function: 2-amino-4-hydroxy-6-hydroxymethyldihydropteridine diphosphokinase activity (GO:0003848),Biological Process: folic acid-containing compound biosynthetic process (GO:0009396),Biological Process: pteridine-containing compound metabolic process (GO:0042558); NR=PREDICTED: folic acid synthesis protein fol1-like isoform X2 [Phoenix dactylifera]; Swissprot=Folate synthesis bifunctional protein, mitochondrial OS=Pisum sativum GN=MitHPPK/DHPS PE=1 SV=1; KEGG=folic acid synthesis protein fol1-like; K13941 2-amino-4-hydroxy-6-hydroxymethyldihydropteridine diphosphokinase / dihydropteroate synthase [EC:2.7.6.3 2.5.1.15] (A); IPRSCAN=IPR000489 Pterin-binding NULL NULL NULL NULL IPR000489 Pterin-binding IPR000550 7,8-Dihydro-6-hydroxymethylpterin-pyrophosphokinase, HPPK</t>
  </si>
  <si>
    <t>[translated] | GO=Molecular Function: diacylglycerol kinase activity (GO:0004143),Biological Process: protein kinase C-activating G-protein coupled receptor signaling pathway (GO:0007205); NR=PREDICTED: diacylglycerol kinase 5-like [Phoenix dactylifera]; Swissprot=Diacylglycerol kinase 5 OS=Arabidopsis thaliana GN=DGK5 PE=2 SV=1; KEGG=diacylglycerol kinase 5-like; K00901 diacylglycerol kinase (ATP) [EC:2.7.1.107] (A); IPRSCAN=IPR001206 Diacylglycerol kinase, catalytic domain IPR000756 Diacylglycerol kinase, accessory domain IPR001206 Diacylglycerol kinase, catalytic domain NULL NULL NULL NULL IPR000756 Diacylglycerol kinase, accessory domain IPR001206 Diacylglycerol kinase, catalytic domain</t>
  </si>
  <si>
    <t>[translated] | NR=PREDICTED: uncharacterized protein LOC103715986 [Phoenix dactylifera]; IPRSCAN=NULL NULL IPR006734 Protein of unknown function DUF597</t>
  </si>
  <si>
    <t>[translated] | NR=PREDICTED: pyridoxal reductase, chloroplastic [Elaeis guineensis]; KEGG=pyridoxal reductase, chloroplastic; K05275 pyridoxine 4-dehydrogenase [EC:1.1.1.65] (A)</t>
  </si>
  <si>
    <t>[translated] | GO=Cellular Component: integral to membrane (GO:0016021); NR=hypothetical protein PRUPE_ppa007209mg [Prunus persica]; Swissprot=Peroxisomal membrane protein 2 OS=Bos taurus GN=PXMP2 PE=2 SV=3; KEGG=hypothetical protein; K13348 protein Mpv17 (A); IPRSCAN=IPR007248 Mpv17/PMP22 NULL NULL IPR007248 Mpv17/PMP22</t>
  </si>
  <si>
    <t>[translated] | GO=Molecular Function: protein kinase activity (GO:0004672),Molecular Function: protein tyrosine kinase activity (GO:0004713),Molecular Function: protein binding (GO:0005515),Molecular Function: ATP binding (GO:0005524),Biological Process: protein phosphorylation (GO:0006468); NR=PREDICTED: probable inactive receptor kinase At1g27190 [Phoenix dactylifera]; Swissprot=Probable inactive receptor kinase At1g27190 OS=Arabidopsis thaliana GN=At1g27190 PE=1 SV=1; KEGG=hypothetical protein; K04730 interleukin-1 receptor-associated kinase 1 [EC:2.7.11.1] (A); IPRSCAN=IPR002290 Serine/threonine- / dual specificity protein kinase, catalytic  domain IPR020635 Tyrosine-protein kinase, catalytic domain IPR000719 Protein kinase domain NULL NULL NULL NULL IPR001245 Serine-threonine/tyrosine-protein kinase catalytic domain IPR001611 Leucine-rich repeat IPR025875 Leucine rich repeat 4 IPR013210 Leucine-rich repeat-containing N-terminal, type 2 NULL NULL NULL NULL NULL NULL</t>
  </si>
  <si>
    <t>[translated] | GO=Molecular Function: polygalacturonase activity (GO:0004650),Biological Process: carbohydrate metabolic process (GO:0005975); NR=hypothetical protein EUGRSUZ_I01918 [Eucalyptus grandis]; Swissprot=Polygalacturonase OS=Actinidia deliciosa PE=2 SV=1; KEGG=probable polygalacturonase At1g80170; K01213 galacturan 1,4-alpha-galacturonidase [EC:3.2.1.67] (A); IPRSCAN=NULL NULL IPR000743 Glycoside hydrolase, family 28</t>
  </si>
  <si>
    <t>[translated] | NR=PREDICTED: protein ASPARTIC PROTEASE IN GUARD CELL 2-like [Phoenix dactylifera]; IPRSCAN=NULL NULL</t>
  </si>
  <si>
    <t>[translated] | NR=hypothetical protein AMTR_s00016p00231510 [Amborella trichopoda]; Swissprot=Protein HVA22 OS=Hordeum vulgare GN=HVA22 PE=2 SV=1; KEGG=HVA22-like protein e; K17279 receptor expression-enhancing protein 5/6 (A); IPRSCAN=IPR004345 TB2/DP1/HVA22-related protein</t>
  </si>
  <si>
    <t>[translated] | NR=PREDICTED: uncharacterized protein LOC105058874 isoform X1 [Elaeis guineensis]</t>
  </si>
  <si>
    <t>[translated] | GO=Molecular Function: catalytic activity (GO:0003824),Molecular Function: D-arabinono-1,4-lactone oxidase activity (GO:0003885),Molecular Function: UDP-N-acetylmuramate dehydrogenase activity (GO:0008762),Cellular Component: membrane (GO:0016020),Molecular Function: oxidoreductase activity (GO:0016491),Molecular Function: oxidoreductase activity, acting on CH-OH group of donors (GO:0016614),Molecular Function: galactonolactone dehydrogenase activity (GO:0016633),Molecular Function: flavin adenine dinucleotide binding (GO:0050660),Biological Process: oxidation-reduction process (GO:0055114); NR=hypothetical_protein [Oryza brachyantha]; Swissprot=L-galactono-1,4-lactone dehydrogenase 2, mitochondrial OS=Oryza sativa subsp. japonica GN=GLDH2 PE=2 SV=1; KEGG=L-galactono-1,4-lactone dehydrogenase 2, mitochondrial; K00225 L-galactono-1,4-lactone dehydrogenase [EC:1.3.2.3] (A); IPRSCAN=IPR010029 Galactonolactone dehydrogenase NULL NULL IPR006094 FAD linked oxidase, N-terminal IPR007173 D-arabinono-1,4-lactone oxidase IPR016166 FAD-binding, type 2</t>
  </si>
  <si>
    <t>[translated] | GO=Biological Process: ubiquitin-dependent protein catabolic process (GO:0006511),Cellular Component: cullin-RING ubiquitin ligase complex (GO:0031461),Molecular Function: ubiquitin protein ligase binding (GO:0031625); NR=Cullin-1 -like protein [Gossypium arboreum]; Swissprot=Cullin-1 OS=Arabidopsis thaliana GN=CUL1 PE=1 SV=1; KEGG=cullin-1-like; K03347 cullin 1 (A); IPRSCAN=IPR001373 Cullin, N-terminal NULL NULL NULL NULL</t>
  </si>
  <si>
    <t>[translated] | GO=Cellular Component: membrane (GO:0016020); NR=PREDICTED: uncharacterized protein LOC104104961 isoform X1 [Nicotiana tomentosiformis]; Swissprot=Protein FATTY ACID EXPORT 3, chloroplastic OS=Arabidopsis thaliana GN=FAX3 PE=2 SV=2; IPRSCAN=IPR005349 Uncharacterised protein family UPF0136, Transmembrane IPR005349 Uncharacterised protein family UPF0136, Transmembrane</t>
  </si>
  <si>
    <t>[translated] | GO=Molecular Function: nucleotide binding (GO:0000166),Molecular Function: ATP binding (GO:0005524),Cellular Component: membrane (GO:0016020),Molecular Function: ATPase activity (GO:0016887),Molecular Function: nucleoside-triphosphatase activity (GO:0017111); NR=PREDICTED: pleiotropic drug resistance protein 13 [Phoenix dactylifera]; Swissprot=ABC transporter G family member 31 OS=Arabidopsis thaliana GN=ABCG31 PE=1 SV=1; KEGG=YALI0F17996p; K08712 ATP-binding cassette, subfamily G (WHITE), member 2, SNQ2 (A); IPRSCAN=NULL NULL NULL NULL IPR003593 AAA+ ATPase domain IPR003593 AAA+ ATPase domain IPR013525 ABC-2 type transporter IPR013525 ABC-2 type transporter IPR003439 ABC transporter-like IPR003439 ABC transporter-like IPR013581 Plant PDR ABC transporter associated IPR003439 ABC transporter-like IPR003439 ABC transporter-like</t>
  </si>
  <si>
    <t>[translated] | GO=Molecular Function: nucleotide binding (GO:0000166),Molecular Function: ATP binding (GO:0005524),Molecular Function: nucleoside-triphosphatase activity (GO:0017111); NR=PREDICTED: probable mitochondrial chaperone bcs1 [Musa acuminata subsp. malaccensis]; Swissprot=Probable mitochondrial chaperone BCS1-B OS=Dictyostelium discoideum GN=bcsl1b PE=3 SV=1; KEGG=probable mitochondrial chaperone bcs1; K08900 mitochondrial chaperone BCS1 (A); IPRSCAN=IPR025753 AAA-type ATPase, N-terminal domain IPR003959 ATPase, AAA-type, core IPR003593 AAA+ ATPase domain NULL NULL NULL NULL</t>
  </si>
  <si>
    <t>[translated] | NR=PREDICTED: protein FAM9A-like [Phoenix dactylifera]; Swissprot=Heat shock 70 kDa protein OS=Neurospora crassa (strain ATCC 24698 / 74-OR23-1A / CBS 708.71 / DSM 1257 / FGSC 987) GN=hsps-1 PE=2 SV=2; IPRSCAN=NULL NULL NULL NULL</t>
  </si>
  <si>
    <t>[translated] | GO=Molecular Function: nucleic acid binding (GO:0003676); NR=PREDICTED: serine/arginine-rich splicing factor RS31-like [Elaeis guineensis]; Swissprot=Serine/arginine-rich splicing factor RS31 OS=Arabidopsis thaliana GN=RS31 PE=1 SV=2; KEGG=serine/arginine-rich splicing factor RS31-like; K12893 splicing factor, arginine/serine-rich 4/5/6 (A); IPRSCAN=IPR000504 RNA recognition motif domain IPR000504 RNA recognition motif domain IPR000504 RNA recognition motif domain NULL NULL NULL NULL NULL NULL IPR000504 RNA recognition motif domain IPR000504 RNA recognition motif domain</t>
  </si>
  <si>
    <t>[translated] | NR=unnamed protein product [Vitis vinifera]; Swissprot=26S proteasome non-ATPase regulatory subunit 13 homolog A OS=Arabidopsis thaliana GN=RPN9A PE=1 SV=1; KEGG=26S proteasome non-ATPase regulatory subunit 13 homolog B-like; K03039 26S proteasome regulatory subunit N9 (A); IPRSCAN=NULL NULL</t>
  </si>
  <si>
    <t>[translated] | GO=Molecular Function: nutrient reservoir activity (GO:0045735); NR=PREDICTED: germin-like protein 12-2 [Musa acuminata subsp. malaccensis]; Swissprot=Putative germin-like protein 2-1 OS=Oryza sativa subsp. japonica GN=Os02g0491600 PE=3 SV=1; KEGG=uncharacterized LOC101250545; K11426 SET and MYND domain-containing protein (A); IPRSCAN=NULL NULL IPR006045 Cupin 1</t>
  </si>
  <si>
    <t>[translated] | GO=Molecular Function: manganese ion binding (GO:0030145),Molecular Function: nutrient reservoir activity (GO:0045735); NR=PREDICTED: putative germin-like protein 2-1 [Phoenix dactylifera]; Swissprot=Putative germin-like protein 2-1 OS=Oryza sativa subsp. japonica GN=Os02g0491600 PE=3 SV=1; KEGG=uncharacterized LOC101250545; K11426 SET and MYND domain-containing protein (A); IPRSCAN=IPR001929 Germin IPR001929 Germin IPR001929 Germin NULL NULL NULL NULL IPR006045 Cupin 1 IPR006045 Cupin 1</t>
  </si>
  <si>
    <t>[translated] | NR=PREDICTED: BOI-related E3 ubiquitin-protein ligase 1-like isoform X2 [Phoenix dactylifera]; KEGG=BOI-related E3 ubiquitin-protein ligase 1-like; K19042 E3 ubiquitin-protein ligase BOI and related proteins [EC:2.3.2.27] (A)</t>
  </si>
  <si>
    <t>[translated] | GO=Molecular Function: protein binding (GO:0005515),Molecular Function: zinc ion binding (GO:0008270); NR=PREDICTED: uncharacterized protein LOC105039075 [Elaeis guineensis]; Swissprot=Histone-lysine N-methyltransferase, H3 lysine-4 specific OS=Coccidioides immitis (strain RS) GN=SET1 PE=3 SV=1; KEGG=histone methyltransferase; K11422 histone-lysine N-methyltransferase SETD1 [EC:2.1.1.43] (A); IPRSCAN=IPR019787 Zinc finger, PHD-finger IPR001214 SET domain IPR001965 Zinc finger, PHD-type IPR001214 SET domain NULL NULL IPR001214 SET domain NULL NULL</t>
  </si>
  <si>
    <t>[translated] | GO=Molecular Function: structural constituent of ribosome (GO:0003735),Cellular Component: intracellular (GO:0005622),Cellular Component: ribosome (GO:0005840),Biological Process: translation (GO:0006412); NR=structural constituent of ribosome, putative [Ricinus communis]; Swissprot=30S ribosomal protein S21 OS=Acaryochloris marina (strain MBIC 11017) GN=rpsU PE=3 SV=1; IPRSCAN=IPR001911 Ribosomal protein S21 IPR001911 Ribosomal protein S21 IPR001911 Ribosomal protein S21 IPR001911 Ribosomal protein S21 IPR001911 Ribosomal protein S21 IPR001911 Ribosomal protein S21</t>
  </si>
  <si>
    <t>[translated] | GO=Molecular Function: protein kinase activity (GO:0004672),Molecular Function: protein tyrosine kinase activity (GO:0004713),Molecular Function: ATP binding (GO:0005524),Biological Process: protein phosphorylation (GO:0006468),Biological Process: cell wall macromolecule catabolic process (GO:0016998); NR=PREDICTED: protein LYK5-like [Elaeis guineensis]; Swissprot=Protein LYK5 OS=Arabidopsis thaliana GN=LYK5 PE=2 SV=1; KEGG=hypothetical protein; K04730 interleukin-1 receptor-associated kinase 1 [EC:2.7.11.1] (A); IPRSCAN=IPR000719 Protein kinase domain IPR018392 Peptidoglycan-binding lysin domain IPR018392 Peptidoglycan-binding lysin domain IPR020635 Tyrosine-protein kinase, catalytic domain IPR002290 Serine/threonine- / dual specificity protein kinase, catalytic  domain IPR000719 Protein kinase domain NULL NULL NULL NULL</t>
  </si>
  <si>
    <t>[translated] | GO=Molecular Function: catalytic activity (GO:0003824),Molecular Function: 3-hydroxyacyl-CoA dehydrogenase activity (GO:0003857),Biological Process: fatty acid metabolic process (GO:0006631),Biological Process: metabolic process (GO:0008152),Molecular Function: oxidoreductase activity (GO:0016491),Biological Process: oxidation-reduction process (GO:0055114); NR=PREDICTED: glyoxysomal fatty acid beta-oxidation multifunctional protein MFP-a-like [Musa acuminata subsp. malaccensis]; Swissprot=Glyoxysomal fatty acid beta-oxidation multifunctional protein MFP-a OS=Brassica napus PE=2 SV=2; KEGG=glyoxysomal fatty acid beta-oxidation multifunctional protein MFP-a-like; K10527 enoyl-CoA hydratase/3-hydroxyacyl-CoA dehydrogenase [EC:4.2.1.17 1.1.1.35 1.1.1.211] (A); IPRSCAN=NULL NULL NULL NULL IPR001753 Crotonase superfamily IPR006176 3-hydroxyacyl-CoA dehydrogenase, NAD binding IPR006108 3-hydroxyacyl-CoA dehydrogenase, C-terminal</t>
  </si>
  <si>
    <t>[translated] | NR=PREDICTED: small nuclear ribonucleoprotein Sm D3-like [Musa acuminata subsp. malaccensis]; Swissprot=Small nuclear ribonucleoprotein SmD3b OS=Arabidopsis thaliana GN=SMD3B PE=2 SV=1; KEGG=small nuclear ribonucleoprotein Sm D3-like; K11088 small nuclear ribonucleoprotein D3 (A); IPRSCAN=IPR006649 Ribonucleoprotein LSM domain, eukaryotic/archaea-type IPR027141 U6 snRNA-associated Sm-like protein LSm4/Small nuclear ribonucleoprotein Sm D1/D3 IPR001163 Ribonucleoprotein LSM domain</t>
  </si>
  <si>
    <t>[translated] | NR=hypothetical protein B456_005G194900 [Gossypium raimondii]</t>
  </si>
  <si>
    <t>[translated] | GO=Molecular Function: sequence-specific DNA binding transcription factor activity (GO:0003700),Biological Process: regulation of transcription, DNA-dependent (GO:0006355),Molecular Function: sequence-specific DNA binding (GO:0043565); NR=PREDICTED: homeobox-leucine zipper protein HOX18-like [Elaeis guineensis]; Swissprot=Homeobox-leucine zipper protein HOX27 OS=Oryza sativa subsp. japonica GN=HOX27 PE=2 SV=1; KEGG=homeobox-leucine zipper protein HOX27-like; K09338 homeobox-leucine zipper protein (A); IPRSCAN=IPR001356 Homeobox domain IPR001356 Homeobox domain IPR001356 Homeobox domain NULL NULL NULL NULL</t>
  </si>
  <si>
    <t>[translated] | NR=PREDICTED: flavonol synthase/flavanone 3-hydroxylase-like [Elaeis guineensis]; Swissprot=Feruloyl CoA ortho-hydroxylase 1 OS=Arabidopsis thaliana GN=F6'H1 PE=1 SV=1; KEGG=flavonol synthase/flavanone 3-hydroxylase-like; K05278 flavonol synthase [EC:1.14.11.23] (A); IPRSCAN=NULL NULL NULL NULL IPR026992 Non-haem dioxygenase N-terminal domain</t>
  </si>
  <si>
    <t>[translated] | NR=thaumatin-like cytokinin-binding protein [Brassica oleracea]; Swissprot=Osmotin-like protein OS=Solanum lycopersicum PE=1 SV=1; IPRSCAN=IPR001938 Thaumatin</t>
  </si>
  <si>
    <t>[translated] | NR=PREDICTED: pentatricopeptide repeat-containing protein At3g06430, chloroplastic [Phoenix dactylifera]; Swissprot=Pentatricopeptide repeat-containing protein At3g06430, chloroplastic OS=Arabidopsis thaliana GN=EMB2750 PE=2 SV=1</t>
  </si>
  <si>
    <t>[translated] | NR=hypothetical protein CISIN_1g0068981mg, partial [Citrus sinensis]; Swissprot=Serine/threonine-protein phosphatase 2A 65 kDa regulatory subunit A alpha isoform OS=Arabidopsis thaliana GN=PP2AA1 PE=1 SV=1; KEGG=serine/threonine-protein phosphatase 2A 65 kDa regulatory subunit A beta isoform-like; K03456 serine/threonine-protein phosphatase 2A regulatory subunit A (A)</t>
  </si>
  <si>
    <t>[translated] | GO=Molecular Function: protein binding (GO:0005515); NR=PREDICTED: leucine-rich repeat receptor-like serine/threonine-protein kinase At1g17230 [Setaria italica]; Swissprot=Receptor-like protein kinase 2 OS=Arabidopsis thaliana GN=RCH2 PE=1 SV=1; KEGG=probable LRR receptor-like serine/threonine-protein kinase At4g36180; K13466 EIX receptor 1/2 (A); IPRSCAN=NULL NULL NULL NULL NULL NULL NULL NULL NULL NULL IPR001611 Leucine-rich repeat IPR001611 Leucine-rich repeat</t>
  </si>
  <si>
    <t>[translated] | NR=PREDICTED: glycine-rich cell wall structural protein 1-like isoform X3 [Phoenix dactylifera]; KEGG=uncharacterized LOC100276177; K02922 large subunit ribosomal protein L37e (A)</t>
  </si>
  <si>
    <t>[translated] | GO=Molecular Function: transporter activity (GO:0005215),Cellular Component: plasma membrane (GO:0005886),Cellular Component: integral to membrane (GO:0016021),Biological Process: transmembrane transport (GO:0055085); NR=PREDICTED: hippocampus abundant transcript-like protein 1 [Musa acuminata subsp. malaccensis]; Swissprot=Hippocampus abundant transcript-like protein 1 OS=Bos taurus GN=HIATL1 PE=2 SV=1; KEGG=proton-coupled folate transporter-like; K14613 MFS transporter, PCFT/HCP family, solute carrier family 46 (folate transporter), member 1/3 (A); IPRSCAN=NULL NULL NULL NULL IPR001958 Tetracycline resistance protein, TetA/multidrug resistance protein MdtG IPR001958 Tetracycline resistance protein, TetA/multidrug resistance protein MdtG IPR001958 Tetracycline resistance protein, TetA/multidrug resistance protein MdtG IPR001958 Tetracycline resistance protein, TetA/multidrug resistance protein MdtG IPR020846 Major facilitator superfamily domain IPR011701 Major facilitator superfamily</t>
  </si>
  <si>
    <t>[translated] | NR=PREDICTED: probable zinc metallopeptidase EGY3, chloroplastic [Cucumis melo]; Swissprot=Probable zinc metalloprotease EGY3, chloroplastic OS=Oryza sativa subsp. japonica GN=EGY3 PE=2 SV=1; KEGG=pyridoxamine 5'-phosphate oxidase isoform 1 (EC:1.4.3.5); K00275 pyridoxamine 5'-phosphate oxidase [EC:1.4.3.5] (A); IPRSCAN=NULL NULL NULL NULL</t>
  </si>
  <si>
    <t>[translated] | NR=PREDICTED: uncharacterized protein LOC105044153 isoform X1 [Elaeis guineensis]; KEGG=uncharacterized LOC101760823; K17338 receptor expression-enhancing protein 1/2/3/4 (A)</t>
  </si>
  <si>
    <t>[translated] | GO=Cellular Component: nucleosome (GO:0000786),Molecular Function: DNA binding (GO:0003677),Cellular Component: nucleus (GO:0005634),Biological Process: nucleosome assembly (GO:0006334); NR=histone H1.2 [Arabidopsis thaliana]; Swissprot=Histone H1.2 OS=Arabidopsis thaliana GN=At2g30620 PE=1 SV=1; KEGG=hypothetical protein; K11275 histone H1/5 (A); IPRSCAN=IPR005818 Linker histone H1/H5, domain H15 NULL NULL IPR005818 Linker histone H1/H5, domain H15 IPR005819 Histone H5 IPR005819 Histone H5 IPR005819 Histone H5 IPR005819 Histone H5 IPR005818 Linker histone H1/H5, domain H15</t>
  </si>
  <si>
    <t>[translated] | NR=PREDICTED: monodehydroascorbate reductase, chloroplastic-like [Oryza brachyantha]; Swissprot=Monodehydroascorbate reductase, chloroplastic OS=Arabidopsis thaliana GN=At1g63940 PE=2 SV=3; KEGG=monodehydroascorbate reductase, chloroplastic-like; K08232 monodehydroascorbate reductase (NADH) [EC:1.6.5.4] (A); IPRSCAN=NULL NULL NULL NULL</t>
  </si>
  <si>
    <t>[translated] | NR=Os07g0564700 [Oryza sativa Japonica Group]; Swissprot=Brefeldin A-inhibited guanine nucleotide-exchange protein 5 OS=Arabidopsis thaliana GN=BIG5 PE=1 SV=2; KEGG=Os07g0564700; Similar to ATMIN7 (ARABIDOPSIS THALIANA HOPM INTERACTOR 7); guanyl-nucleotide exchange factor/ protein binding.; K13462 guanine nucleotide-exchange factor (A); IPRSCAN=NULL NULL NULL NULL</t>
  </si>
  <si>
    <t>[translated] | GO=Molecular Function: carbon-sulfur lyase activity (GO:0016846); NR=alliinase [Allium sativum]; Swissprot=Alliin lyase OS=Allium cepa PE=1 SV=2; KEGG=nucleotide binding protein, putative (EC:4.4.1.4); K14548 U3 small nucleolar RNA-associated protein 4 (A); IPRSCAN=IPR006947 EGF-like, alliinase</t>
  </si>
  <si>
    <t>[translated] | GO=Molecular Function: carbon-sulfur lyase activity (GO:0016846); NR=root-type alliinase [Allium sativum]; Swissprot=Alliin lyase (Fragment) OS=Allium cepa var. aggregatum PE=2 SV=1; KEGG=nucleotide binding protein, putative (EC:4.4.1.4); K14548 U3 small nucleolar RNA-associated protein 4 (A); IPRSCAN=IPR006948 Allinase, C-terminal NULL NULL NULL NULL</t>
  </si>
  <si>
    <t>[translated] | GO=Biological Process: protein folding (GO:0006457); NR=PREDICTED: 70 kDa peptidyl-prolyl isomerase-like [Phoenix dactylifera]; Swissprot=70 kDa peptidyl-prolyl isomerase OS=Triticum aestivum GN=FKBP70 PE=1 SV=1; KEGG=pco127462b; uncharacterized LOC100283417; K09571 FK506-binding protein 4/5 [EC:5.2.1.8] (A); IPRSCAN=IPR001179 Peptidyl-prolyl cis-trans isomerase, FKBP-type, domain NULL NULL IPR023566 Peptidyl-prolyl cis-trans isomerase, FKBP-type IPR001179 Peptidyl-prolyl cis-trans isomerase, FKBP-type, domain</t>
  </si>
  <si>
    <t>[translated] | GO=Molecular Function: peroxidase activity (GO:0004601),Biological Process: response to oxidative stress (GO:0006979),Molecular Function: heme binding (GO:0020037),Biological Process: oxidation-reduction process (GO:0055114); NR=PREDICTED: peroxidase 5-like [Fragaria vesca subsp. vesca]; Swissprot=Peroxidase 5 OS=Vitis vinifera GN=GSVIVT00037159001 PE=1 SV=2; KEGG=peroxidase 5-like; K00430 peroxidase [EC:1.11.1.7] (A); IPRSCAN=NULL NULL IPR002016 Haem peroxidase, plant/fungal/bacterial IPR002016 Haem peroxidase, plant/fungal/bacterial</t>
  </si>
  <si>
    <t>[translated] | GO=Biological Process: mannose metabolic process (GO:0006013),Molecular Function: mannosidase activity (GO:0015923); NR=PREDICTED: alpha-mannosidase 2x [Phoenix dactylifera]; Swissprot=Alpha-mannosidase 2 OS=Arabidopsis thaliana GN=GMII PE=1 SV=1; KEGG=alpha-mannosidase 2x; K01231 alpha-mannosidase II [EC:3.2.1.114] (A); IPRSCAN=IPR011682 Glycosyl hydrolase family 38, C-terminal NULL NULL NULL NULL</t>
  </si>
  <si>
    <t>[translated] | GO=Molecular Function: protein binding (GO:0005515); NR=PREDICTED: fimbrin-4-like [Elaeis guineensis]; Swissprot=Fimbrin-5 OS=Arabidopsis thaliana GN=FIM5 PE=1 SV=1; KEGG=fimbrin-4-like; K17275 plastin-1 (A); IPRSCAN=IPR001715 Calponin homology domain IPR001715 Calponin homology domain IPR001715 Calponin homology domain IPR001715 Calponin homology domain IPR001715 Calponin homology domain IPR001715 Calponin homology domain IPR001715 Calponin homology domain IPR001715 Calponin homology domain NULL NULL NULL NULL</t>
  </si>
  <si>
    <t>[translated] | NR=PREDICTED: pentatricopeptide repeat-containing protein At2g13600-like [Elaeis guineensis]; Swissprot=Pentatricopeptide repeat-containing protein At2g13600 OS=Arabidopsis thaliana GN=PCMP-E76 PE=3 SV=1; KEGG=pentatricopeptide repeat-containing protein, putative; K15271 ATP-dependent DNA helicase HFM1/MER3 [EC:3.6.4.12] (A); IPRSCAN=IPR002885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NULL NULL NULL NULL</t>
  </si>
  <si>
    <t>[translated] | GO=Molecular Function: protein binding (GO:0005515); NR=PREDICTED: multiple C2 and transmembrane domain-containing protein 2-like [Nelumbo nucifera]; Swissprot=Protein QUIRKY OS=Arabidopsis thaliana GN=QKY PE=2 SV=1; KEGG=hypothetical protein; K01613 phosphatidylserine decarboxylase [EC:4.1.1.65] (A); IPRSCAN=IPR000008 C2 calcium-dependent membrane targeting IPR000008 C2 calcium-dependent membrane targeting IPR018029 C2 membrane targeting protein IPR000008 C2 calcium-dependent membrane targeting NULL NULL NULL NULL</t>
  </si>
  <si>
    <t>[translated] | GO=Biological Process: transmembrane transport (GO:0055085); NR=PREDICTED: probable metal-nicotianamine transporter YSL6 isoform X1 [Musa acuminata subsp. malaccensis]; Swissprot=Probable metal-nicotianamine transporter YSL6 OS=Oryza sativa subsp. japonica GN=YSL6 PE=2 SV=1; KEGG=probable ribose-5-phosphate isomerase 2; K01807 ribose 5-phosphate isomerase A [EC:5.3.1.6] (A); IPRSCAN=IPR004813 Oligopeptide transporter, OPT superfamily NULL NULL</t>
  </si>
  <si>
    <t>[translated] | GO=Molecular Function: DNA binding (GO:0003677),Molecular Function: sequence-specific DNA binding transcription factor activity (GO:0003700),Biological Process: regulation of transcription, DNA-dependent (GO:0006355),Molecular Function: sequence-specific DNA binding (GO:0043565); NR=PREDICTED: BEL1-like homeodomain protein 4 isoform X2 [Elaeis guineensis]; Swissprot=BEL1-like homeodomain protein 4 OS=Arabidopsis thaliana GN=BLH4 PE=1 SV=2; KEGG=homeobox protein BEL1 homolog; K16670 homeobox protein Meis2 (A); IPRSCAN=IPR001356 Homeobox domain NULL NULL NULL NULL IPR006563 POX domain IPR001356 Homeobox domain IPR006563 POX domain IPR008422 Homeobox KN domain</t>
  </si>
  <si>
    <t>[translated] | GO=Molecular Function: catalytic activity (GO:0003824),Biological Process: metabolic process (GO:0008152); NR=PREDICTED: acetyl-coenzyme A synthetase, chloroplastic/glyoxysomal-like [Musa acuminata subsp. malaccensis]; Swissprot=Acetyl-coenzyme A synthetase, chloroplastic/glyoxysomal OS=Arabidopsis thaliana GN=ACS PE=1 SV=1; KEGG=acetyl-coenzyme A synthetase, chloroplastic/glyoxysomal-like; K01895 acetyl-CoA synthetase [EC:6.2.1.1] (A); IPRSCAN=NULL NULL NULL NULL IPR000873 AMP-dependent synthetase/ligase IPR025110 AMP-binding enzyme C-terminal domain</t>
  </si>
  <si>
    <t>[translated] | GO=Molecular Function: protein binding (GO:0005515); NR=PREDICTED: transcription factor GTE10-like [Nelumbo nucifera]; Swissprot=Transcription factor GTE9 OS=Arabidopsis thaliana GN=GTE9 PE=1 SV=1; KEGG=hypothetical protein; K11724 bromodomain testis-specific protein (A); IPRSCAN=IPR001487 Bromodomain IPR001487 Bromodomain IPR001487 Bromodomain IPR001487 Bromodomain IPR001487 Bromodomain NULL NULL NULL NULL IPR001487 Bromodomain IPR001487 Bromodomain IPR027353 NET domain</t>
  </si>
  <si>
    <t>[translated] | GO=Molecular Function: structural constituent of ribosome (GO:0003735),Cellular Component: intracellular (GO:0005622),Cellular Component: ribosome (GO:0005840),Biological Process: translational elongation (GO:0006414); NR=PREDICTED: 60S acidic ribosomal protein P1-like [Tarenaya hassleriana]; Swissprot=60S acidic ribosomal protein P1 OS=Zea mays GN=RPP1A PE=1 SV=1; KEGG=60S acidic ribosomal protein P1-like; K02942 large subunit ribosomal protein LP1 (A); IPRSCAN=IPR001813 Ribosomal protein L10/L12 NULL NULL</t>
  </si>
  <si>
    <t>[translated] | NR=PREDICTED: probable glutathione S-transferase [Eucalyptus grandis]; Swissprot=Probable glutathione S-transferase OS=Glycine max GN=HSP26-A PE=2 SV=1; KEGG=probable glutathione S-transferase; K00799 glutathione S-transferase [EC:2.5.1.18] (A); IPRSCAN=IPR004046 Glutathione S-transferase, C-terminal NULL NULL NULL NULL IPR017933 Glutathione S-transferase/chloride channel, C-terminal</t>
  </si>
  <si>
    <t>[translated] | GO=Cellular Component: integral to membrane (GO:0016021),Molecular Function: transmembrane transporter activity (GO:0022857),Biological Process: transmembrane transport (GO:0055085); NR=PREDICTED: probable inorganic phosphate transporter 1-2 [Elaeis guineensis]; Swissprot=Inorganic phosphate transporter 1-11 OS=Oryza sativa subsp. japonica GN=PHT1-11 PE=2 SV=1; KEGG=probable inorganic phosphate transporter 1-2; K08176 MFS transporter, PHS family, inorganic phosphate transporter (A); IPRSCAN=NULL NULL NULL NULL IPR020846 Major facilitator superfamily domain IPR005828 General substrate transporter</t>
  </si>
  <si>
    <t>[translated] | NR=PREDICTED: protein TIME FOR COFFEE isoform X4 [Cucumis melo]</t>
  </si>
  <si>
    <t>[translated] | GO=Molecular Function: RNA binding (GO:0003723),Molecular Function: translation initiation factor activity (GO:0003743),Cellular Component: eukaryotic translation initiation factor 2 complex (GO:0005850); NR=PREDICTED: eukaryotic translation initiation factor 2 subunit alpha-like [Fragaria vesca subsp. vesca]; Swissprot=Eukaryotic translation initiation factor 2 subunit alpha OS=Schizosaccharomyces pombe (strain 972 / ATCC 24843) GN=tif211 PE=1 SV=1; KEGG=eukaryotic translation initiation factor 2 subunit alpha-like; K03237 translation initiation factor 2 subunit 1 (A); IPRSCAN=IPR011488 Translation initiation factor 2, alpha subunit NULL NULL NULL NULL</t>
  </si>
  <si>
    <t>[translated] | NR=BnaA01g03500D [Brassica napus]</t>
  </si>
  <si>
    <t>[translated] | GO=Molecular Function: isopentenyl-diphosphate delta-isomerase activity (GO:0004452),Biological Process: isoprenoid biosynthetic process (GO:0008299),Molecular Function: hydrolase activity (GO:0016787); NR=isopentenyl diphosphate isomerase [Solanum lycopersicum]; Swissprot=Isopentenyl-diphosphate Delta-isomerase I OS=Camptotheca acuminata GN=IPI1 PE=2 SV=1; KEGG=isopentenyl-diphosphate Delta-isomerase II; K01823 isopentenyl-diphosphate delta-isomerase [EC:5.3.3.2] (A); IPRSCAN=IPR000086 NUDIX hydrolase domain NULL NULL IPR011876 Isopentenyl-diphosphate delta-isomerase, type 1 IPR000086 NUDIX hydrolase domain</t>
  </si>
  <si>
    <t>[translated] | GO=Cellular Component: protein kinase CK2 complex (GO:0005956),Molecular Function: protein kinase regulator activity (GO:0019887); NR=PREDICTED: casein kinase II subunit beta-like isoform X3 [Elaeis guineensis]; Swissprot=Casein kinase II subunit beta OS=Arabidopsis thaliana GN=CKB1 PE=1 SV=1; KEGG=casein kinase II subunit beta-like; K03115 casein kinase II subunit beta (A); IPRSCAN=IPR000704 Casein kinase II, regulatory subunit IPR000704 Casein kinase II, regulatory subunit IPR000704 Casein kinase II, regulatory subunit IPR000704 Casein kinase II, regulatory subunit IPR000704 Casein kinase II, regulatory subunit IPR000704 Casein kinase II, regulatory subunit IPR000704 Casein kinase II, regulatory subunit IPR000704 Casein kinase II, regulatory subunit</t>
  </si>
  <si>
    <t>[translated] | NR=PREDICTED: uncharacterized protein LOC105044482 [Elaeis guineensis]; IPRSCAN=IPR007750 Protein of unknown function DUF674</t>
  </si>
  <si>
    <t>[translated] | NR=PREDICTED: uncharacterized protein LOC105035431 [Elaeis guineensis]</t>
  </si>
  <si>
    <t>[translated] | GO=Molecular Function: oxidoreductase activity (GO:0016491),Biological Process: oxidation-reduction process (GO:0055114); NR=PREDICTED: ferric reduction oxidase 2-like [Elaeis guineensis]; Swissprot=Ferric reduction oxidase 3, mitochondrial OS=Arabidopsis thaliana GN=FRO3 PE=2 SV=1; KEGG=hypothetical protein; K08008 NADPH oxidase (A); IPRSCAN=NULL NULL NULL NULL IPR013112 FAD-binding 8 IPR017927 Ferredoxin reductase-type FAD-binding domain</t>
  </si>
  <si>
    <t>[translated] | KEGG=60S ribosomal export protein NMD3; K07562 nonsense-mediated mRNA decay protein 3 (A)</t>
  </si>
  <si>
    <t>[translated] | GO=Molecular Function: protein binding (GO:0005515); NR=PREDICTED: F-box/kelch-repeat protein At3g24760-like [Musa acuminata subsp. malaccensis]; Swissprot=F-box/kelch-repeat protein At3g24760 OS=Arabidopsis thaliana GN=At3g24760 PE=2 SV=1; IPRSCAN=IPR001810 F-box domain IPR001810 F-box domain</t>
  </si>
  <si>
    <t>[translated] | GO=Cellular Component: cytoplasm (GO:0005737),Biological Process: translational termination (GO:0006415),Molecular Function: translation release factor activity, codon specific (GO:0016149); NR=predicted protein [Hordeum vulgare subsp. vulgare]; Swissprot=Eukaryotic peptide chain release factor subunit 1-3 OS=Arabidopsis thaliana GN=ERF1-3 PE=1 SV=1; KEGG=eukaryotic peptide chain release factor subunit 1-3-like; K03265 peptide chain release factor subunit 1 (A); IPRSCAN=IPR005140 eRF1 domain 1/Pelota-like IPR004403 Peptide chain release factor eRF1/aRF1</t>
  </si>
  <si>
    <t>[translated] | GO=Molecular Function: arsenite transmembrane transporter activity (GO:0015105),Biological Process: arsenite transport (GO:0015700),Cellular Component: integral to membrane (GO:0016021),Biological Process: transmembrane transport (GO:0055085); NR=PREDICTED: putative transporter arsB [Phoenix dactylifera]; Swissprot=Putative transporter arsB OS=Dictyostelium discoideum GN=arsB PE=2 SV=1; IPRSCAN=IPR000802 Arsenite/antimonite efflux pump membrane protein,  ArsB IPR000802 Arsenite/antimonite efflux pump membrane protein,  ArsB IPR000802 Arsenite/antimonite efflux pump membrane protein,  ArsB NULL NULL NULL NULL IPR004680 Citrate transporter-like domain</t>
  </si>
  <si>
    <t>[translated] | NR=PREDICTED: uncharacterized protein LOC103701762 isoform X2 [Phoenix dactylifera]; IPRSCAN=NULL NULL IPR026749 Transmembrane protein 135</t>
  </si>
  <si>
    <t>[translated] | GO=Molecular Function: 6-phosphofructokinase activity (GO:0003872),Cellular Component: 6-phosphofructokinase complex (GO:0005945),Biological Process: glycolysis (GO:0006096); NR=PREDICTED: ATP-dependent 6-phosphofructokinase 5, chloroplastic-like isoform X2 [Nelumbo nucifera]; Swissprot=ATP-dependent 6-phosphofructokinase 5, chloroplastic OS=Arabidopsis thaliana GN=PFK5 PE=1 SV=1; KEGG=ATP-dependent 6-phosphofructokinase 5, chloroplastic-like; K00850 6-phosphofructokinase 1 [EC:2.7.1.11] (A); IPRSCAN=IPR000023 Phosphofructokinase domain NULL NULL</t>
  </si>
  <si>
    <t>[translated] | GO=Biological Process: malate transport (GO:0015743); NR=PREDICTED: aluminum-activated malate transporter 10 [Brachypodium distachyon]; Swissprot=Aluminum-activated malate transporter 10 OS=Arabidopsis thaliana GN=ALMT10 PE=3 SV=2; IPRSCAN=IPR020966 Aluminum-activated malate transporter NULL NULL NULL NULL</t>
  </si>
  <si>
    <t>[translated] | NR=PREDICTED: 2-carboxy-D-arabinitol-1-phosphatase [Elaeis guineensis]; Swissprot=2-carboxy-D-arabinitol-1-phosphatase OS=Triticum aestivum PE=1 SV=1; KEGG=2-carboxy-D-arabinitol-1-phosphatase; K15634 probable phosphoglycerate mutase [EC:5.4.2.12] (A); IPRSCAN=IPR013078 Histidine phosphatase superfamily, clade-1 IPR013078 Histidine phosphatase superfamily, clade-1 IPR013078 Histidine phosphatase superfamily, clade-1 IPR013078 Histidine phosphatase superfamily, clade-1 NULL NULL NULL NULL</t>
  </si>
  <si>
    <t>[translated] | GO=Molecular Function: ARF guanyl-nucleotide exchange factor activity (GO:0005086),Biological Process: regulation of ARF protein signal transduction (GO:0032012); NR=PREDICTED: LOW QUALITY PROTEIN: ARF guanine-nucleotide exchange factor GNL2-like [Phoenix dactylifera]; Swissprot=ARF guanine-nucleotide exchange factor GNL2 OS=Arabidopsis thaliana GN=GNL2 PE=2 SV=1; KEGG=ARF guanine-nucleotide exchange factor GNL2-like; K18443 golgi-specific brefeldin A-resistance guanine nucleotide exchange factor 1 (A); IPRSCAN=NULL NULL NULL NULL IPR000904 SEC7-like IPR000904 SEC7-like IPR000904 SEC7-like NULL NULL</t>
  </si>
  <si>
    <t>[translated] | NR=hypothetical protein VITISV_013781 [Vitis vinifera]; Swissprot=Protein QUIRKY OS=Arabidopsis thaliana GN=QKY PE=2 SV=1; IPRSCAN=NULL NULL NULL NULL</t>
  </si>
  <si>
    <t>[translated] | GO=Biological Process: metabolic process (GO:0008152),Molecular Function: oxidoreductase activity (GO:0016491); NR=PREDICTED: zinc-binding alcohol dehydrogenase domain-containing protein 2 isoform X2 [Nicotiana tomentosiformis]; Swissprot=15-hydroxyprostaglandin dehydrogenase [NAD(+)] OS=Macaca fascicularis GN=HPGD PE=2 SV=1; KEGG=15-hydroxyprostaglandin dehydrogenase [NAD(+)]-like; K00069 15-hydroxyprostaglandin dehydrogenase (NAD) [EC:1.1.1.141] (A); IPRSCAN=IPR002347 Glucose/ribitol dehydrogenase IPR002347 Glucose/ribitol dehydrogenase IPR002347 Glucose/ribitol dehydrogenase IPR002347 Glucose/ribitol dehydrogenase IPR002198 Short-chain dehydrogenase/reductase SDR IPR002198 Short-chain dehydrogenase/reductase SDR NULL NULL NULL NULL IPR002198 Short-chain dehydrogenase/reductase SDR</t>
  </si>
  <si>
    <t>[translated] | NR=lachrymatory factor synthase [Allium fistulosum]; Swissprot=Lachrymatory-factor synthase OS=Allium cepa GN=LFS PE=1 SV=1; IPRSCAN=IPR019587 Polyketide cyclase/dehydrase</t>
  </si>
  <si>
    <t>[translated] | GO=Biological Process: cytokinin metabolic process (GO:0009690),Molecular Function: cytokinin dehydrogenase activity (GO:0019139),Molecular Function: flavin adenine dinucleotide binding (GO:0050660),Biological Process: oxidation-reduction process (GO:0055114); NR=PREDICTED: cytokinin dehydrogenase 4-like [Phoenix dactylifera]; Swissprot=Cytokinin dehydrogenase 9 OS=Oryza sativa subsp. japonica GN=CKX9 PE=2 SV=1; KEGG=cytokinin dehydrogenase 4-like; K00279 cytokinin dehydrogenase [EC:1.5.99.12] (A); IPRSCAN=NULL NULL NULL NULL IPR015345 Cytokinin dehydrogenase 1, FAD/cytokinin binding domain</t>
  </si>
  <si>
    <t>[translated] | GO=Cellular Component: nucleus (GO:0005634); NR=PREDICTED: probable CCR4-associated factor 1 homolog 9 [Nelumbo nucifera]; Swissprot=Probable CCR4-associated factor 1 homolog 9 OS=Arabidopsis thaliana GN=CAF1-9 PE=2 SV=1; KEGG=probable CCR4-associated factor 1 homolog 9; K12581 CCR4-NOT transcription complex subunit 7/8 (A); IPRSCAN=NULL NULL IPR006941 Ribonuclease CAF1</t>
  </si>
  <si>
    <t>[translated] | GO=Molecular Function: dTDP-4-dehydrorhamnose reductase activity (GO:0008831),Biological Process: extracellular polysaccharide biosynthetic process (GO:0045226); NR=predicted protein [Hordeum vulgare subsp. vulgare]; Swissprot=Methionine adenosyltransferase 2 subunit beta OS=Danio rerio GN=mat2b PE=2 SV=1; KEGG=methionine adenosyltransferase 2 subunit beta; K00789 S-adenosylmethionine synthetase [EC:2.5.1.6] (A); IPRSCAN=NULL NULL NULL NULL IPR005913 dTDP-4-dehydrorhamnose reductase</t>
  </si>
  <si>
    <t>[translated] | GO=Molecular Function: ATP binding (GO:0005524),Biological Process: protein folding (GO:0006457),Biological Process: cellular protein metabolic process (GO:0044267),Molecular Function: unfolded protein binding (GO:0051082); NR=PREDICTED: T-complex protein 1 subunit zeta-like [Eucalyptus grandis]; Swissprot=T-complex protein 1 subunit zeta 1 OS=Arabidopsis thaliana GN=CCT6A PE=1 SV=1; KEGG=T-complex protein 1 subunit zeta-like; K09498 T-complex protein 1 subunit zeta (A); IPRSCAN=IPR012722 T-complex protein 1, zeta subunit IPR002423 Chaperonin Cpn60/TCP-1 IPR002423 Chaperonin Cpn60/TCP-1</t>
  </si>
  <si>
    <t>[translated] | NR=hypothetical protein SORBIDRAFT_01g015200 [Sorghum bicolor]; Swissprot=Protein DEK OS=Mus musculus GN=Dek PE=1 SV=1; KEGG=SORBIDRAFT_01g015200, Sb01g015200; hypothetical protein; K17046 protein DEK (A); IPRSCAN=NULL NULL NULL NULL IPR014876 DEK, C-terminal</t>
  </si>
  <si>
    <t>[translated] | GO=Molecular Function: glutamate decarboxylase activity (GO:0004351),Biological Process: glutamate metabolic process (GO:0006536),Molecular Function: pyridoxal phosphate binding (GO:0030170); NR=unknown [Zea mays]; Swissprot=Glutamate decarboxylase OS=Petunia hybrida GN=GAD PE=1 SV=1; KEGG=gpm277; uncharacterized LOC100191549; K01580 glutamate decarboxylase [EC:4.1.1.15] (A); IPRSCAN=IPR010107 Glutamate decarboxylase NULL NULL</t>
  </si>
  <si>
    <t>[translated] | NR=PREDICTED: pentatricopeptide repeat-containing protein At4g21065-like [Musa acuminata subsp. malaccensis]; Swissprot=Pentatricopeptide repeat-containing protein At4g21065 OS=Arabidopsis thaliana GN=PCMP-H28 PE=2 SV=2; KEGG=Cell division protein ftsH, putative (EC:3.6.4.3); K03798 cell division protease FtsH [EC:3.4.24.-] (A); IPRSCAN=NULL NULL NULL NULL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t>
  </si>
  <si>
    <t>[translated] | NR=PREDICTED: 3-oxoacyl-[acyl-carrier-protein] synthase I, chloroplastic-like [Musa acuminata subsp. malaccensis]; Swissprot=3-oxoacyl-[acyl-carrier-protein] synthase I, chloroplastic OS=Arabidopsis thaliana GN=KAS1 PE=2 SV=2; KEGG=3-oxoacyl-[acyl-carrier-protein] synthase I, chloroplastic-like; K09458 3-oxoacyl-[acyl-carrier-protein] synthase II [EC:2.3.1.179] (A); IPRSCAN=IPR014030 Beta-ketoacyl synthase, N-terminal IPR014031 Beta-ketoacyl synthase, C-terminal IPR020841 Polyketide synthase, beta-ketoacyl synthase domain NULL NULL NULL NULL</t>
  </si>
  <si>
    <t>[translated] | NR=hypothetical protein AMTR_s00009p00263650 [Amborella trichopoda]; Swissprot=Glucan endo-1,3-beta-glucosidase OS=Triticum aestivum GN=GLC1 PE=2 SV=1; KEGG=glucan endo-1,3-beta-glucosidase 1; K19891 glucan endo-1,3-beta-glucosidase 1/2/3 [EC:3.2.1.39] (A); IPRSCAN=IPR012946 X8 NULL NULL NULL NULL</t>
  </si>
  <si>
    <t>[translated] | NR=trypsin inhibitor [Allium cepa]</t>
  </si>
  <si>
    <t>[translated] | GO=Cellular Component: cell wall (GO:0005618),Molecular Function: pectinesterase activity (GO:0030599),Biological Process: cell wall modification (GO:0042545); NR=hypothetical protein PHAVU_010G080000g [Phaseolus vulgaris]; Swissprot=Pectinesterase/pectinesterase inhibitor PPE8B OS=Prunus persica PE=2 SV=1; KEGG=hypothetical protein; K01051 pectinesterase [EC:3.1.1.11] (A); IPRSCAN=NULL NULL NULL NULL IPR000070 Pectinesterase, catalytic IPR000070 Pectinesterase, catalytic</t>
  </si>
  <si>
    <t>[translated] | GO=Molecular Function: protein binding (GO:0005515); NR=hypothetical protein AALP_AA8G490400 [Arabis alpina]; Swissprot=Leucine-rich repeat receptor-like serine/threonine-protein kinase BAM1 OS=Arabidopsis thaliana GN=BAM1 PE=1 SV=1; KEGG=receptor protein kinase CLAVATA1; K00924 [EC:2.7.1.-] (A); IPRSCAN=IPR001611 Leucine-rich repeat NULL NULL NULL NULL</t>
  </si>
  <si>
    <t>[translated] | GO=Biological Process: carbohydrate metabolic process (GO:0005975),Molecular Function: transferase activity, transferring hexosyl groups (GO:0016758),Molecular Function: carbohydrate binding (GO:0030246),Biological Process: lipid glycosylation (GO:0030259); NR=PREDICTED: UDP-N-acetylglucosamine transferase subunit ALG13 homolog [Phoenix dactylifera]; Swissprot=UDP-N-acetylglucosamine transferase subunit ALG13 homolog OS=Rattus norvegicus GN=Alg13 PE=1 SV=1; KEGG=UDP-N-acetylglucosamine transferase subunit ALG13 homolog; K07432 beta-1,4-N-acetylglucosaminyltransferase [EC:2.4.1.141] (A); IPRSCAN=IPR007235 Glycosyl transferase, family 28, C-terminal NULL NULL</t>
  </si>
  <si>
    <t>[translated] | GO=Biological Process: metabolic process (GO:0008152),Molecular Function: transferase activity, transferring hexosyl groups (GO:0016758); NR=PREDICTED: 7-deoxyloganetin glucosyltransferase-like [Populus euphratica]; Swissprot=7-deoxyloganetin glucosyltransferase OS=Gardenia jasminoides GN=UGT85A24 PE=1 SV=1; KEGG=cyanohydrin beta-glucosyltransferase-like; K13030 cyanohydrin beta-glucosyltransferase [EC:2.4.1.85] (A); IPRSCAN=IPR002213 UDP-glucuronosyl/UDP-glucosyltransferase NULL NULL IPR002213 UDP-glucuronosyl/UDP-glucosyltransferase</t>
  </si>
  <si>
    <t>[translated] | GO=Molecular Function: fatty-acyl-CoA binding (GO:0000062); NR=Acyl-CoA-binding protein [Panax ginseng]; Swissprot=Acyl-CoA-binding protein OS=Gossypium hirsutum PE=3 SV=1; KEGG=acyl-CoA-binding protein-like; K08762 diazepam-binding inhibitor (GABA receptor modulator, acyl-CoA-binding protein) (A); IPRSCAN=IPR000582 Acyl-CoA-binding protein, ACBP IPR000582 Acyl-CoA-binding protein, ACBP NULL NULL NULL NULL IPR000582 Acyl-CoA-binding protein, ACBP IPR000582 Acyl-CoA-binding protein, ACBP IPR000582 Acyl-CoA-binding protein, ACBP IPR000582 Acyl-CoA-binding protein, ACBP</t>
  </si>
  <si>
    <t>[translated] | NR=PREDICTED: F-box/kelch-repeat protein At3g23880-like [Prunus mume]; Swissprot=F-box protein CPR30 OS=Arabidopsis thaliana GN=CPR30 PE=1 SV=2; KEGG=hypothetical protein; K04079 molecular chaperone HtpG (A)</t>
  </si>
  <si>
    <t>[translated] | NR=PREDICTED: early endosome antigen 1-like [Phoenix dactylifera]</t>
  </si>
  <si>
    <t>[translated] | NR=PREDICTED: uncharacterized protein LOC103713004 [Phoenix dactylifera]; IPRSCAN=IPR009606 Protein of unknown function DUF1218</t>
  </si>
  <si>
    <t>[translated] | GO=Molecular Function: methyltransferase activity (GO:0008168); NR=unnamed protein product [Coffea canephora]; Swissprot=2-methoxy-6-polyprenyl-1,4-benzoquinol methylase, mitochondrial OS=Oryza sativa subsp. japonica GN=COQ5 PE=2 SV=1; KEGG=2-methoxy-6-polyprenyl-1,4-benzoquinol methylase, mitochondrial-like; K06127 2-methoxy-6-polyprenyl-1,4-benzoquinol methylase [EC:2.1.1.201] (A); IPRSCAN=IPR004033 UbiE/COQ5 methyltransferase NULL NULL IPR025765 2-methoxy-6-polyprenyl-1,4-benzoquinol methylase domain IPR004033 UbiE/COQ5 methyltransferase</t>
  </si>
  <si>
    <t>[translated] | NR=hypothetical protein B456_009G440700 [Gossypium raimondii]; Swissprot=DNA mismatch repair protein MSH5 OS=Oryza sativa subsp. japonica GN=MSH5 PE=2 SV=1; KEGG=hypothetical protein; K08741 DNA mismatch repair protein MSH5 (A); IPRSCAN=NULL NULL NULL NULL</t>
  </si>
  <si>
    <t>[translated] | GO=Biological Process: biosynthetic process (GO:0009058),Molecular Function: strictosidine synthase activity (GO:0016844); NR=PREDICTED: strictosidine synthase 3-like [Elaeis guineensis]; Swissprot=Protein STRICTOSIDINE SYNTHASE-LIKE 10 OS=Arabidopsis thaliana GN=SSL10 PE=2 SV=1; KEGG=hypothetical protein; K01757 strictosidine synthase [EC:4.3.3.2] (A); IPRSCAN=NULL NULL NULL NULL IPR018119 Strictosidine synthase, conserved region</t>
  </si>
  <si>
    <t>[translated] | NR=PREDICTED: uncharacterized protein LOC101263778 [Solanum lycopersicum]; IPRSCAN=IPR008470 Uncharacterised protein family Ycf33</t>
  </si>
  <si>
    <t>[translated] | GO=Biological Process: metabolic process (GO:0008152),Molecular Function: transferase activity, transferring hexosyl groups (GO:0016758); NR=PREDICTED: anthocyanidin 5,3-O-glucosyltransferase-like [Elaeis guineensis]; Swissprot=Anthocyanidin 5,3-O-glucosyltransferase OS=Rosa hybrid cultivar GN=RhGT1 PE=2 SV=1; KEGG=anthocyanidin 5,3-O-glucosyltransferase; K12938 anthocyanidin 5,3-O-glucosyltransferase [EC:2.4.1.-] (A); IPRSCAN=NULL NULL IPR002213 UDP-glucuronosyl/UDP-glucosyltransferase</t>
  </si>
  <si>
    <t>[translated] | GO=Molecular Function: DNA binding (GO:0003677),Cellular Component: nucleus (GO:0005634),Biological Process: transcription, DNA-dependent (GO:0006351); NR=PREDICTED: uncharacterized protein LOC105039171 isoform X2 [Elaeis guineensis]; KEGG=serine/threonine-protein phosphatase 1 regulatory subunit 10-like; K17552 protein phosphatase 1 regulatory subunit 10 (A); IPRSCAN=IPR017923 Transcription factor IIS, N-terminal NULL NULL NULL NULL IPR003617 Transcription elongation factor, TFIIS/CRSP70, N-terminal, sub-type IPR017923 Transcription factor IIS, N-terminal</t>
  </si>
  <si>
    <t>[translated] | GO=Molecular Function: peroxidase activity (GO:0004601),Biological Process: response to oxidative stress (GO:0006979),Molecular Function: heme binding (GO:0020037),Biological Process: oxidation-reduction process (GO:0055114); NR=PREDICTED: peroxidase 15 [Phoenix dactylifera]; Swissprot=Peroxidase 53 OS=Arabidopsis thaliana GN=PER53 PE=1 SV=1; KEGG=peroxidase 15; K00430 peroxidase [EC:1.11.1.7] (A); IPRSCAN=IPR002016 Haem peroxidase, plant/fungal/bacterial IPR000823 Plant peroxidase IPR000823 Plant peroxidase IPR000823 Plant peroxidase IPR000823 Plant peroxidase IPR000823 Plant peroxidase IPR000823 Plant peroxidase IPR000823 Plant peroxidase IPR000823 Plant peroxidase IPR000823 Plant peroxidase IPR002016 Haem peroxidase, plant/fungal/bacterial IPR002016 Haem peroxidase, plant/fungal/bacterial IPR002016 Haem peroxidase, plant/fungal/bacterial IPR002016 Haem peroxidase, plant/fungal/bacterial IPR002016 Haem peroxidase, plant/fungal/bacterial NULL NULL NULL NULL IPR002016 Haem peroxidase, plant/fungal/bacterial</t>
  </si>
  <si>
    <t>[translated] | GO=Molecular Function: catalytic activity (GO:0003824),Biological Process: metabolic process (GO:0008152); NR=PREDICTED: long chain acyl-CoA synthetase 6, peroxisomal-like [Musa acuminata subsp. malaccensis]; Swissprot=Long chain acyl-CoA synthetase 7, peroxisomal OS=Arabidopsis thaliana GN=LACS7 PE=1 SV=2; KEGG=long chain acyl-CoA synthetase 6, peroxisomal-like; K01897 long-chain acyl-CoA synthetase [EC:6.2.1.3] (A); IPRSCAN=IPR000873 AMP-dependent synthetase/ligase NULL NULL NULL NULL</t>
  </si>
  <si>
    <t>[translated] | GO=Molecular Function: DNA binding (GO:0003677),Molecular Function: protein dimerization activity (GO:0046983); NR=PREDICTED: agamous-like MADS-box protein AGL80 [Phoenix dactylifera]; Swissprot=Agamous-like MADS-box protein AGL80 OS=Arabidopsis thaliana GN=AGL80 PE=1 SV=1; KEGG=uncharacterized LOC100825352; K19995 secretory carrier-associated membrane protein (A); IPRSCAN=IPR002100 Transcription factor, MADS-box NULL NULL NULL NULL IPR002100 Transcription factor, MADS-box IPR002100 Transcription factor, MADS-box IPR002100 Transcription factor, MADS-box IPR002100 Transcription factor, MADS-box IPR002100 Transcription factor, MADS-box</t>
  </si>
  <si>
    <t>[translated] | GO=Molecular Function: structural constituent of ribosome (GO:0003735),Biological Process: translation (GO:0006412),Cellular Component: large ribosomal subunit (GO:0015934); NR=PREDICTED: uncharacterized protein LOC103974252 [Musa acuminata subsp. malaccensis]; Swissprot=50S ribosomal protein L32 OS=Rhodospirillum rubrum (strain ATCC 11170 / ATH 1.1.1 / DSM 467 / LMG 4362 / NCIB 8255 / S1) GN=rpmF PE=3 SV=1; KEGG=uncharacterized protein LOC103974252; K02911 large subunit ribosomal protein L32 (A); IPRSCAN=IPR002677 Ribosomal protein L32p</t>
  </si>
  <si>
    <t>[translated] | GO=Cellular Component: photosystem I (GO:0009522),Cellular Component: thylakoid (GO:0009579),Biological Process: photosynthesis (GO:0015979),Cellular Component: integral to membrane (GO:0016021); NR=Os01g0790950, partial [Oryza sativa Japonica Group]; Swissprot=Photosystem I P700 chlorophyll a apoprotein A1 OS=Phalaenopsis aphrodite subsp. formosana GN=psaA PE=3 SV=1; KEGG=psi P700 apoprotein A1; K02689 photosystem I P700 chlorophyll a apoprotein A1 (A); IPRSCAN=IPR001280 Photosystem I PsaA/PsaB IPR001280 Photosystem I PsaA/PsaB IPR001280 Photosystem I PsaA/PsaB IPR001280 Photosystem I PsaA/PsaB</t>
  </si>
  <si>
    <t>[translated] | NR=Os12g0552700 [Oryza sativa Japonica Group]; Swissprot=F-box/LRR-repeat protein 3 OS=Arabidopsis thaliana GN=FBL3 PE=2 SV=1; KEGG=SORBIDRAFT_08g017670, Sb08g017670; hypothetical protein; K10268 F-box and leucine-rich repeat protein 2/20 (A)</t>
  </si>
  <si>
    <t>[translated] | NR=PREDICTED: CMP-sialic acid transporter 5 [Nicotiana tomentosiformis]; Swissprot=CMP-sialic acid transporter 5 OS=Arabidopsis thaliana GN=At5g65000 PE=2 SV=1; KEGG=CMP-sialic acid transporter 5; K15272 solute carrier family 35 (UDP-sugar transporter), member A1/2/3 (A)</t>
  </si>
  <si>
    <t>[translated] | GO=Molecular Function: oxidoreductase activity (GO:0016491),Biological Process: oxidation-reduction process (GO:0055114); NR=PREDICTED: internal alternative NAD(P)H-ubiquinone oxidoreductase A2, mitochondrial-like [Elaeis guineensis]; Swissprot=Internal alternative NAD(P)H-ubiquinone oxidoreductase A2, mitochondrial OS=Arabidopsis thaliana GN=NDA2 PE=2 SV=1; KEGG=internal alternative NAD(P)H-ubiquinone oxidoreductase A2, mitochondrial-like; K17871 NADH:ubiquinone reductase (non-electrogenic) [EC:1.6.5.9] (A); IPRSCAN=NULL NULL NULL NULL IPR013027 FAD-dependent pyridine nucleotide-disulphide oxidoreductase IPR013027 FAD-dependent pyridine nucleotide-disulphide oxidoreductase IPR013027 FAD-dependent pyridine nucleotide-disulphide oxidoreductase IPR023753 Pyridine nucleotide-disulphide oxidoreductase, FAD/NAD(P)-binding domain</t>
  </si>
  <si>
    <t>[translated] | GO=Cellular Component: intracellular (GO:0005622),Biological Process: ribosome biogenesis (GO:0042254); NR=PREDICTED: 50S ribosomal protein L10, chloroplastic-like isoform X1 [Citrus sinensis]; Swissprot=50S ribosomal protein L10, chloroplastic OS=Nicotiana tabacum GN=RPL10 PE=2 SV=1; KEGG=50S ribosomal protein L10, chloroplastic-like; K02864 large subunit ribosomal protein L10 (A); IPRSCAN=IPR022973 Ribosomal protein L10 NULL NULL IPR001790 Ribosomal protein L10/acidic P0</t>
  </si>
  <si>
    <t>[translated] | NR=PREDICTED: alpha carbonic anhydrase 7-like [Elaeis guineensis]; Swissprot=Alpha carbonic anhydrase 3 OS=Arabidopsis thaliana GN=ACA3 PE=2 SV=1; KEGG=alpha carbonic anhydrase 7-like; K01674 carbonic anhydrase [EC:4.2.1.1] (A); IPRSCAN=NULL NULL IPR023561 Carbonic anhydrase, alpha-class IPR001148 Alpha carbonic anhydrase IPR001148 Alpha carbonic anhydrase</t>
  </si>
  <si>
    <t>[translated] | GO=Molecular Function: iron ion binding (GO:0005506),Molecular Function: electron carrier activity (GO:0009055),Molecular Function: oxidoreductase activity, acting on paired donors, with incorporation or reduction of molecular oxygen (GO:0016705),Molecular Function: heme binding (GO:0020037),Biological Process: oxidation-reduction process (GO:0055114); NR=PREDICTED: cytochrome P450 84A1-like [Elaeis guineensis]; Swissprot=Ferruginol synthase OS=Salvia miltiorrhiza GN=CYP76AH1 PE=1 SV=1; KEGG=cytochrome P450 84A1-like; K09755 ferulate-5-hydroxylase [EC:1.14.-.-] (A); IPRSCAN=NULL NULL NULL NULL IPR001128 Cytochrome P450 IPR002401 Cytochrome P450, E-class, group I IPR002401 Cytochrome P450, E-class, group I</t>
  </si>
  <si>
    <t>[translated] | GO=Cellular Component: membrane (GO:0016020); NR=PREDICTED: stomatin-like protein 2, mitochondrial [Amborella trichopoda]; Swissprot=Stomatin-like protein 2, mitochondrial OS=Mus musculus GN=Stoml2 PE=1 SV=1; IPRSCAN=NULL NULL IPR001972 Stomatin</t>
  </si>
  <si>
    <t>[translated] | GO=Molecular Function: protein kinase activity (GO:0004672),Molecular Function: ATP binding (GO:0005524),Biological Process: protein phosphorylation (GO:0006468); NR=PREDICTED: casein kinase I isoform delta-like isoform X2 [Elaeis guineensis]; Swissprot=Casein kinase I isoform delta-like OS=Arabidopsis thaliana GN=At4g26100 PE=2 SV=2; KEGG=casein kinase I isoform delta-like; K02218 casein kinase 1 [EC:2.7.11.1] (A); IPRSCAN=NULL NULL NULL NULL IPR000719 Protein kinase domain IPR002290 Serine/threonine- / dual specificity protein kinase, catalytic  domain IPR000719 Protein kinase domain</t>
  </si>
  <si>
    <t>[translated] | NR=hypothetical protein PRUPE_ppa021584mg [Prunus persica]; Swissprot=Basic secretory protease (Fragments) OS=Boswellia serrata PE=1 SV=1; IPRSCAN=IPR007541 Uncharacterised protein family, basic secretory protein</t>
  </si>
  <si>
    <t>[translated] | GO=Molecular Function: transporter activity (GO:0005215),Biological Process: sodium ion transport (GO:0006814),Cellular Component: membrane (GO:0016020),Biological Process: transmembrane transport (GO:0055085); NR=dicarboxylate transport 2.1 [Arabidopsis thaliana]; Swissprot=Dicarboxylate transporter 2.1, chloroplastic OS=Arabidopsis thaliana GN=DIT2-1 PE=1 SV=1; KEGG=dicarboxylate transporter 2.1, chloroplastic; K03319 divalent anion:Na+ symporter, DASS family (A); IPRSCAN=NULL NULL NULL NULL IPR001898 Sodium/sulphate symporter</t>
  </si>
  <si>
    <t>[translated] | GO=Molecular Function: protein dimerization activity (GO:0046983); NR=PREDICTED: transcription factor ILI5-like [Musa acuminata subsp. malaccensis]; Swissprot=Transcription factor ILI5 OS=Oryza sativa subsp. japonica GN=ILI5 PE=1 SV=1; IPRSCAN=IPR011598 Myc-type, basic helix-loop-helix (bHLH) domain IPR011598 Myc-type, basic helix-loop-helix (bHLH) domain</t>
  </si>
  <si>
    <t>[translated] | GO=Biological Process: metabolic process (GO:0008152),Molecular Function: oxidoreductase activity, acting on the aldehyde or oxo group of donors, disulfide as acceptor (GO:0016624); NR=PREDICTED: 2-oxoisovalerate dehydrogenase subunit alpha 2, mitochondrial isoform X3 [Elaeis guineensis]; Swissprot=2-oxoisovalerate dehydrogenase subunit alpha 2, mitochondrial OS=Arabidopsis thaliana GN=At5g09300 PE=1 SV=1; KEGG=2-oxoisovalerate dehydrogenase subunit alpha 2, mitochondrial; K00166 2-oxoisovalerate dehydrogenase E1 component alpha subunit [EC:1.2.4.4] (A); IPRSCAN=IPR001017 Dehydrogenase, E1 component NULL NULL NULL NULL</t>
  </si>
  <si>
    <t>[translated] | NR=PREDICTED: uncharacterized protein LOC105056672 [Elaeis guineensis]; IPRSCAN=NULL NULL IPR006946 Protein of unknown function DUF642</t>
  </si>
  <si>
    <t>[translated] | GO=Molecular Function: oxidoreductase activity (GO:0016491),Molecular Function: oxidoreductase activity, acting on paired donors, with incorporation or reduction of molecular oxygen, 2-oxoglutarate as one donor, and incorporation of one atom each of oxygen into both donors (GO:0016706),Biological Process: oxidation-reduction process (GO:0055114); NR=PREDICTED: probable 2-oxoglutarate/Fe(II)-dependent dioxygenase [Musa acuminata subsp. malaccensis]; Swissprot=Probable 2-oxoglutarate/Fe(II)-dependent dioxygenase OS=Papaver somniferum GN=DIOX2 PE=2 SV=1; KEGG=flavonol synthase/flavanone 3-hydroxylase; K05278 flavonol synthase [EC:1.14.11.23] (A); IPRSCAN=IPR005123 Oxoglutarate/iron-dependent dioxygenase NULL NULL NULL NULL IPR026992 Non-haem dioxygenase N-terminal domain IPR005123 Oxoglutarate/iron-dependent dioxygenase</t>
  </si>
  <si>
    <t>[translated] | GO=Molecular Function: structural constituent of ribosome (GO:0003735),Cellular Component: intracellular (GO:0005622),Cellular Component: ribosome (GO:0005840),Biological Process: translation (GO:0006412); NR=PREDICTED: 60S ribosomal protein L13-1-like [Elaeis guineensis]; Swissprot=60S ribosomal protein L13-2 OS=Brassica napus PE=2 SV=1; KEGG=60S ribosomal protein L13-1-like; K02873 large subunit ribosomal protein L13e (A); IPRSCAN=IPR001380 Ribosomal protein L13e IPR001380 Ribosomal protein L13e</t>
  </si>
  <si>
    <t>[translated] | GO=Molecular Function: nucleic acid binding (GO:0003676),Molecular Function: ATP binding (GO:0005524),Biological Process: nucleobase-containing compound metabolic process (GO:0006139),Molecular Function: ATP-dependent helicase activity (GO:0008026),Molecular Function: hydrolase activity, acting on acid anhydrides, in phosphorus-containing anhydrides (GO:0016818); NR=putative DNA repair helicase rad3/xp-d [Zostera marina]; Swissprot=DNA repair helicase UVH6 OS=Arabidopsis thaliana GN=UVH6 PE=1 SV=1; KEGG=hypothetical protein; K10844 DNA excision repair protein ERCC-2 [EC:3.6.4.12] (A); IPRSCAN=IPR006555 ATP-dependent helicase, C-terminal</t>
  </si>
  <si>
    <t>[translated] | GO=Cellular Component: cytoplasm (GO:0005737),Biological Process: intracellular protein transport (GO:0006886); NR=unnamed protein product [Coffea canephora]; Swissprot=Protein VACUOLELESS1 OS=Arabidopsis thaliana GN=VCL1 PE=1 SV=1; IPRSCAN=IPR006926 Vps16, N-terminal NULL NULL</t>
  </si>
  <si>
    <t>[translated] | NR=PREDICTED: uncharacterized protein At1g04910-like [Phoenix dactylifera]</t>
  </si>
  <si>
    <t>[translated] | GO=Molecular Function: protein binding (GO:0005515),Biological Process: regulation of transcription, DNA-dependent (GO:0006355),Molecular Function: zinc ion binding (GO:0008270),Molecular Function: histone binding (GO:0042393); NR=PREDICTED: PHD finger protein ALFIN-LIKE 8-like [Musa acuminata subsp. malaccensis]; Swissprot=PHD finger protein ALFIN-LIKE 8 OS=Oryza sativa subsp. japonica GN=Os11g0244800 PE=2 SV=1; KEGG=GI12529 gene product from transcript GI12529-RB; K11728 nucleosome-remodeling factor subunit BPTF (A); IPRSCAN=IPR019787 Zinc finger, PHD-finger IPR021998 Alfin NULL NULL IPR021998 Alfin IPR019787 Zinc finger, PHD-finger IPR001965 Zinc finger, PHD-type</t>
  </si>
  <si>
    <t>[translated] | GO=Molecular Function: ATP binding (GO:0005524),Biological Process: carbohydrate metabolic process (GO:0005975),Molecular Function: phosphotransferase activity, alcohol group as acceptor (GO:0016773); NR=PREDICTED: hexokinase-2-like [Musa acuminata subsp. malaccensis]; Swissprot=Hexokinase-6 OS=Oryza sativa subsp. japonica GN=HXK6 PE=2 SV=1; KEGG=hexokinase-2-like; K00844 hexokinase [EC:2.7.1.1] (A); IPRSCAN=IPR022673 Hexokinase, C-terminal IPR001312 Hexokinase</t>
  </si>
  <si>
    <t>[translated] | NR=PREDICTED: uncharacterized protein LOC103982455 [Musa acuminata subsp. malaccensis]; KEGG=uncharacterized protein LOC103982455; K02214 cell division control protein 7 [EC:2.7.11.1] (A)</t>
  </si>
  <si>
    <t>[translated] | NR=WD repeat-containing protein [Zostera marina]; Swissprot=WD repeat and HMG-box DNA-binding protein 1 OS=Homo sapiens GN=WDHD1 PE=1 SV=1; KEGG=WD repeat and HMG-box DNA-binding protein 1; K11274 chromosome transmission fidelity protein 4 (A); IPRSCAN=NULL NULL NULL NULL</t>
  </si>
  <si>
    <t>[translated] | GO=Molecular Function: protein binding (GO:0005515); NR=putative WD-repeat protein [Narcissus tazetta]; Swissprot=Uncharacterized WD repeat-containing protein C2A9.03 OS=Schizosaccharomyces pombe (strain 972 / ATCC 24843) GN=SPBC2A9.03 PE=3 SV=2; KEGG=hypothetical protein; K14963 COMPASS component SWD3 (A); IPRSCAN=IPR001680 WD40 repeat IPR001680 WD40 repeat IPR001680 WD40 repeat IPR001680 WD40 repeat NULL NULL NULL NULL IPR001680 WD40 repeat IPR017986 WD40-repeat-containing domain</t>
  </si>
  <si>
    <t>[translated] | GO=Cellular Component: intracellular (GO:0005622),Biological Process: transport (GO:0006810); NR=PREDICTED: nuclear transport factor 2 isoform X3 [Elaeis guineensis]; Swissprot=Nuclear transport factor 2 OS=Arabidopsis thaliana GN=NTF2 PE=1 SV=1; IPRSCAN=IPR002075 Nuclear transport factor 2 NULL NULL NULL NULL IPR018222 Nuclear transport factor 2, Eukaryote</t>
  </si>
  <si>
    <t>[translated] | GO=Biological Process: drug transmembrane transport (GO:0006855),Molecular Function: drug transmembrane transporter activity (GO:0015238),Molecular Function: antiporter activity (GO:0015297),Cellular Component: membrane (GO:0016020),Biological Process: transmembrane transport (GO:0055085); NR=PREDICTED: MATE efflux family protein 6-like [Musa acuminata subsp. malaccensis]; Swissprot=MATE efflux family protein 8 OS=Arabidopsis thaliana GN=DTXL4 PE=3 SV=2; KEGG=MATE efflux family protein 6-like; K03327 multidrug resistance protein, MATE family (A); IPRSCAN=NULL NULL NULL NULL IPR002528 Multi antimicrobial extrusion protein</t>
  </si>
  <si>
    <t>[translated] | NR=PREDICTED: pre-mRNA-processing protein 40C [Phoenix dactylifera]; Swissprot=Pre-mRNA-processing protein 40C OS=Arabidopsis thaliana GN=MED35C PE=1 SV=1; KEGG=pre-mRNA-processing protein 40C; K12824 transcription elongation regulator 1 (A); IPRSCAN=IPR002713 FF domain NULL NULL NULL NULL</t>
  </si>
  <si>
    <t>[translated] | NR=Tocopherol O-methyltransferase [Zostera marina]; Swissprot=Probable tocopherol O-methyltransferase, chloroplastic OS=Oryza sativa subsp. japonica GN=VTE4 PE=2 SV=1; KEGG=probable tocopherol O-methyltransferase, chloroplastic; K05928 tocopherol O-methyltransferase [EC:2.1.1.95] (A); IPRSCAN=NULL NULL NULL NULL</t>
  </si>
  <si>
    <t>[translated] | NR=hypothetical protein CICLE_v10030136mg [Citrus clementina]; Swissprot=Auxin-responsive protein SAUR36 OS=Oryza sativa subsp. japonica GN=SAUR39 PE=2 SV=1; KEGG=SAUR-like auxin-responsive family protein; K14488 SAUR family protein (A); IPRSCAN=IPR003676 Auxin-induced protein, ARG7 NULL NULL NULL NULL</t>
  </si>
  <si>
    <t>[translated] | GO=Molecular Function: aspartic-type endopeptidase activity (GO:0004190),Biological Process: proteolysis (GO:0006508); NR=PREDICTED: aspartic proteinase CDR1-like [Phoenix dactylifera]; Swissprot=Aspartic proteinase CDR1 OS=Arabidopsis thaliana GN=CDR1 PE=1 SV=1; KEGG=hypothetical protein; K01381 saccharopepsin [EC:3.4.23.25] (A); IPRSCAN=NULL NULL NULL NULL IPR001461 Peptidase A1</t>
  </si>
  <si>
    <t>[translated] | NR=hypothetical protein AMTR_s00071p00131920 [Amborella trichopoda]; Swissprot=Clavaminate synthase-like protein At3g21360 OS=Arabidopsis thaliana GN=At3g21360 PE=1 SV=1</t>
  </si>
  <si>
    <t>[translated] | GO=Molecular Function: peroxidase activity (GO:0004601),Biological Process: response to oxidative stress (GO:0006979),Molecular Function: heme binding (GO:0020037),Biological Process: oxidation-reduction process (GO:0055114); NR=PREDICTED: peroxidase 72-like [Elaeis guineensis]; Swissprot=Peroxidase 72 OS=Arabidopsis thaliana GN=PER72 PE=1 SV=1; KEGG=peroxidase 72-like; K00430 peroxidase [EC:1.11.1.7] (A); IPRSCAN=IPR002016 Haem peroxidase, plant/fungal/bacterial IPR000823 Plant peroxidase IPR000823 Plant peroxidase IPR000823 Plant peroxidase IPR000823 Plant peroxidase IPR000823 Plant peroxidase IPR000823 Plant peroxidase IPR000823 Plant peroxidase IPR000823 Plant peroxidase IPR000823 Plant peroxidase IPR002016 Haem peroxidase, plant/fungal/bacterial IPR002016 Haem peroxidase, plant/fungal/bacterial IPR002016 Haem peroxidase, plant/fungal/bacterial IPR002016 Haem peroxidase, plant/fungal/bacterial IPR002016 Haem peroxidase, plant/fungal/bacterial IPR002016 Haem peroxidase, plant/fungal/bacterial NULL NULL NULL NULL</t>
  </si>
  <si>
    <t>[translated] | GO=Molecular Function: nucleoside transmembrane transporter activity (GO:0005337),Biological Process: transport (GO:0006810),Cellular Component: integral to membrane (GO:0016021); NR=PREDICTED: equilibrative nucleotide transporter 1 [Phoenix dactylifera]; Swissprot=Equilibrative nucleotide transporter 1 OS=Arabidopsis thaliana GN=ENT1 PE=1 SV=1; KEGG=equilibrative nucleotide transporter 1; K15014 solute carrier family 29 (equilibrative nucleoside transporter), member 1/2/3 (A); IPRSCAN=NULL NULL IPR002259 Equilibrative nucleoside transporter IPR002259 Equilibrative nucleoside transporter</t>
  </si>
  <si>
    <t>[translated] | NR=PREDICTED: 5'-nucleotidase domain-containing protein 4 isoform X1 [Phoenix dactylifera]; Swissprot=Cytosolic purine 5'-nucleotidase OS=Dictyostelium discoideum GN=nt5c2 PE=3 SV=1; KEGG=5'-nucleotidase; K01081 5'-nucleotidase [EC:3.1.3.5] (A); IPRSCAN=NULL NULL IPR008380 HAD-superfamily hydrolase, subfamily IG, 5'-nucleotidase IPR008380 HAD-superfamily hydrolase, subfamily IG, 5'-nucleotidase</t>
  </si>
  <si>
    <t>[translated] | NR=PREDICTED: homeobox-leucine zipper protein ROC5 isoform X2 [Phoenix dactylifera]; Swissprot=Homeobox-leucine zipper protein ROC4 OS=Oryza sativa subsp. japonica GN=ROC4 PE=2 SV=2; KEGG=homeobox-leucine zipper protein ROC5-like; K09338 homeobox-leucine zipper protein (A); IPRSCAN=NULL NULL NULL NULL</t>
  </si>
  <si>
    <t>[translated] | NR=PREDICTED: F-box/FBD/LRR-repeat protein At1g13570-like [Phoenix dactylifera]; Swissprot=F-box/FBD/LRR-repeat protein At1g13570 OS=Arabidopsis thaliana GN=At1g13570 PE=2 SV=1; KEGG=beta-glucosidase 46; K05350 beta-glucosidase [EC:3.2.1.21] (A)</t>
  </si>
  <si>
    <t>[translated] | NR=hypothetical protein CISIN_1g0273232mg, partial [Citrus sinensis]; Swissprot=Cytokinin riboside 5'-monophosphate phosphoribohydrolase LOG4 OS=Arabidopsis thaliana GN=LOG4 PE=1 SV=1; KEGG=cytokinin riboside 5'-monophosphate phosphoribohydrolase LOG1-like; K06966 uncharacterized protein (A); IPRSCAN=IPR005269 Cytokinin riboside 5'-monophosphate phosphoribohydrolase LOG NULL NULL NULL NULL</t>
  </si>
  <si>
    <t>[translated] | NR=squalene synthase [Chlorophytum borivilianum]; Swissprot=Squalene synthase OS=Arabidopsis thaliana GN=SQS1 PE=1 SV=1; KEGG=squalene synthase-like; K00801 farnesyl-diphosphate farnesyltransferase [EC:2.5.1.21] (A); IPRSCAN=NULL NULL NULL NULL</t>
  </si>
  <si>
    <t>[translated] | GO=Molecular Function: dihydrolipoyl dehydrogenase activity (GO:0004148),Molecular Function: oxidoreductase activity (GO:0016491),Molecular Function: flavin adenine dinucleotide binding (GO:0050660),Biological Process: oxidation-reduction process (GO:0055114); NR=dihydrolipoamide dehydrogenase family protein [Populus trichocarpa]; Swissprot=Dihydrolipoyl dehydrogenase 2, mitochondrial OS=Arabidopsis thaliana GN=LPD2 PE=1 SV=1; KEGG=POPTRDRAFT_656596; dihydrolipoamide dehydrogenase family protein; K00382 dihydrolipoamide dehydrogenase [EC:1.8.1.4] (A); IPRSCAN=IPR006258 Dihydrolipoamide dehydrogenase NULL NULL IPR001327 Pyridine nucleotide-disulphide oxidoreductase, NAD-binding domain</t>
  </si>
  <si>
    <t>[translated] | NR=PREDICTED: uncharacterized protein LOC103699847 [Phoenix dactylifera]; IPRSCAN=IPR025836 Zinc knuckle CX2CX4HX4C</t>
  </si>
  <si>
    <t>[translated] | GO=Molecular Function: chromatin binding (GO:0003682); NR=Os04g0508500 [Oryza sativa Japonica Group]; Swissprot=Transcription factor MYB59 OS=Arabidopsis thaliana GN=MYB59 PE=2 SV=2; KEGG=Os04g0508500; K09422 myb proto-oncogene protein, plant (A); IPRSCAN=NULL NULL NULL NULL IPR017930 Myb domain IPR001005 SANT/Myb domain IPR001005 SANT/Myb domain</t>
  </si>
  <si>
    <t>[translated] | NR=PREDICTED: probable sugar phosphate/phosphate translocator At5g25400 [Nelumbo nucifera]; Swissprot=Probable sugar phosphate/phosphate translocator At4g32390 OS=Arabidopsis thaliana GN=At4g32390 PE=3 SV=1; IPRSCAN=IPR004853 Triose-phosphate transporter domain</t>
  </si>
  <si>
    <t>[translated] | GO=Molecular Function: chromatin binding (GO:0003682); NR=PREDICTED: mucin-5AC-like [Elaeis guineensis]; Swissprot=Telomeric repeat-binding factor 1 OS=Mus musculus GN=Terf1 PE=1 SV=1; KEGG=TERF1; telomeric repeat binding factor (NIMA-interacting) 1; K11110 telomeric repeat-binding factor 1 (A); IPRSCAN=NULL NULL IPR017930 Myb domain IPR001005 SANT/Myb domain</t>
  </si>
  <si>
    <t>[translated] | NR=PREDICTED: uncharacterized protein LOC104826955 [Tarenaya hassleriana]</t>
  </si>
  <si>
    <t>[translated] | GO=Cellular Component: membrane (GO:0016020); NR=hypothetical protein OsJ_08689 [Oryza sativa Japonica Group]; Swissprot=Probable serine incorporator OS=Nematostella vectensis GN=serinc PE=3 SV=1; KEGG=hypothetical protein; K11885 DNA damage-inducible protein 1 (A); IPRSCAN=NULL NULL IPR005016 TMS membrane protein/tumour differentially expressed protein IPR005016 TMS membrane protein/tumour differentially expressed protein</t>
  </si>
  <si>
    <t>[translated] | NR=hypothetical protein ARALYDRAFT_318028 [Arabidopsis lyrata subsp. lyrata]</t>
  </si>
  <si>
    <t>[translated] | GO=Molecular Function: NADH dehydrogenase (ubiquinone) activity (GO:0008137),Biological Process: oxidation-reduction process (GO:0055114); NR=NADH hydrogenase subunit 9 (mitochondrion) [Allium cepa]; Swissprot=NADH dehydrogenase [ubiquinone] iron-sulfur protein 3 OS=Oryza sativa subsp. japonica GN=NAD9 PE=2 SV=2; KEGG=nad9; NADH dehydrogenase subunit 9; K03936 NADH dehydrogenase (ubiquinone) Fe-S protein 3 [EC:1.6.5.3 1.6.99.3] (A); IPRSCAN=IPR001268 NADH:ubiquinone oxidoreductase, 30kDa subunit NULL NULL NULL NULL IPR001268 NADH:ubiquinone oxidoreductase, 30kDa subunit</t>
  </si>
  <si>
    <t>[translated] | NR=PREDICTED: protein LSD1-like [Populus euphratica]; Swissprot=Protein LSD1 OS=Arabidopsis thaliana GN=LSD1 PE=1 SV=1; KEGG=Charged multivesicular body protein 2b-B, putative; K12191 charged multivesicular body protein 2A (A)</t>
  </si>
  <si>
    <t>[translated] | GO=Biological Process: metabolic process (GO:0008152),Molecular Function: transferase activity, transferring hexosyl groups (GO:0016758); NR=PREDICTED: UDP-glycosyltransferase 85A5-like [Phoenix dactylifera]; Swissprot=7-deoxyloganetic acid glucosyltransferase OS=Catharanthus roseus GN=UGT709C2 PE=1 SV=1; KEGG=UDP-glycosyltransferase 76C4-like; K00699 glucuronosyltransferase [EC:2.4.1.17] (A); IPRSCAN=IPR002213 UDP-glucuronosyl/UDP-glucosyltransferase NULL NULL IPR002213 UDP-glucuronosyl/UDP-glucosyltransferase</t>
  </si>
  <si>
    <t>[translated] | GO=Molecular Function: DNA binding (GO:0003677),Molecular Function: protein dimerization activity (GO:0046983); NR=PREDICTED: agamous-like MADS-box protein AGL14 [Phoenix dactylifera]; Swissprot=Protein TRANSPARENT TESTA 16 OS=Arabidopsis thaliana GN=TT16 PE=1 SV=1; KEGG=MADS-box transcription factor 21-like; K09264 MADS-box transcription factor, plant (A); IPRSCAN=IPR002100 Transcription factor, MADS-box IPR002100 Transcription factor, MADS-box IPR002100 Transcription factor, MADS-box IPR002100 Transcription factor, MADS-box IPR002100 Transcription factor, MADS-box IPR002100 Transcription factor, MADS-box NULL NULL</t>
  </si>
  <si>
    <t>[translated] | GO=Molecular Function: protein kinase activity (GO:0004672),Molecular Function: protein tyrosine kinase activity (GO:0004713),Molecular Function: protein binding (GO:0005515),Molecular Function: ATP binding (GO:0005524),Biological Process: protein phosphorylation (GO:0006468); NR=PREDICTED: probable inactive leucine-rich repeat receptor-like protein kinase At1g66830 [Elaeis guineensis]; Swissprot=Probable inactive leucine-rich repeat receptor-like protein kinase At1g66830 OS=Arabidopsis thaliana GN=At1g66830 PE=2 SV=1; KEGG=BRASSINOSTEROID INSENSITIVE 1-associated receptor kinase 1-like; K13416 brassinosteroid insensitive 1-associated receptor kinase 1 [EC:2.7.10.1 2.7.11.1] (A); IPRSCAN=IPR020635 Tyrosine-protein kinase, catalytic domain IPR002290 Serine/threonine- / dual specificity protein kinase, catalytic  domain NULL NULL NULL NULL IPR000719 Protein kinase domain IPR013210 Leucine-rich repeat-containing N-terminal, type 2 IPR025875 Leucine rich repeat 4 IPR000719 Protein kinase domain IPR001611 Leucine-rich repeat IPR001611 Leucine-rich repeat IPR001611 Leucine-rich repeat NULL NULL NULL NULL</t>
  </si>
  <si>
    <t>[translated] | NR=hypothetical protein AMTR_s00048p00214970 [Amborella trichopoda]; Swissprot=MOB kinase activator-like 1B OS=Arabidopsis thaliana GN=MOB1B PE=2 SV=1; KEGG=MOB kinase activator-like 1; K06685 MOB kinase activator 1 (A); IPRSCAN=IPR005301 Mob1/phocein IPR005301 Mob1/phocein</t>
  </si>
  <si>
    <t>[translated] | NR=hypothetical protein AMTR_s00032p00134430 [Amborella trichopoda]</t>
  </si>
  <si>
    <t>[translated] | GO=Molecular Function: nucleic acid binding (GO:0003676); NR=PREDICTED: RNA-binding protein CP29B, chloroplastic [Amborella trichopoda]; Swissprot=29 kDa ribonucleoprotein B, chloroplastic OS=Nicotiana sylvestris PE=2 SV=1; KEGG=RNA-binding protein CP29B, chloroplastic; K11294 nucleolin (A); IPRSCAN=NULL NULL NULL NULL IPR000504 RNA recognition motif domain IPR000504 RNA recognition motif domain IPR000504 RNA recognition motif domain IPR000504 RNA recognition motif domain IPR000504 RNA recognition motif domain IPR000504 RNA recognition motif domain</t>
  </si>
  <si>
    <t>[translated] | NR=PREDICTED: uncharacterized protein LOC105060639 [Elaeis guineensis]</t>
  </si>
  <si>
    <t>[translated] | NR=hypothetical protein SOVF_063920 isoform B [Spinacia oleracea]; IPRSCAN=IPR004252 Probable transposase, Ptta/En/Spm, plant</t>
  </si>
  <si>
    <t>[translated] | GO=Cellular Component: membrane (GO:0016020),Molecular Function: cellulose synthase (UDP-forming) activity (GO:0016760),Biological Process: cellulose biosynthetic process (GO:0030244); NR=PREDICTED: probable cellulose synthase A catalytic subunit 1 [UDP-forming] [Eucalyptus grandis]; Swissprot=Probable cellulose synthase A catalytic subunit 1 [UDP-forming] OS=Oryza sativa subsp. japonica GN=CESA1 PE=2 SV=1; KEGG=cellulose synthase A catalytic subunit 1 [UDP-forming]; K10999 cellulose synthase A [EC:2.4.1.12] (A); IPRSCAN=NULL NULL NULL NULL IPR005150 Cellulose synthase</t>
  </si>
  <si>
    <t>[translated] | GO=Molecular Function: protein binding (GO:0005515); NR=PREDICTED: E3 ubiquitin-protein ligase UPL6 isoform X2 [Phoenix dactylifera]; Swissprot=E3 ubiquitin-protein ligase UPL6 OS=Arabidopsis thaliana GN=UPL6 PE=2 SV=1; KEGG=E3 ubiquitin-protein ligase UPL6; K10589 ubiquitin-protein ligase E3 C [EC:2.3.2.26] (A); IPRSCAN=IPR000048 IQ motif, EF-hand binding site</t>
  </si>
  <si>
    <t>[translated] | GO=Molecular Function: protein kinase activity (GO:0004672),Molecular Function: protein tyrosine kinase activity (GO:0004713),Molecular Function: ATP binding (GO:0005524),Biological Process: protein phosphorylation (GO:0006468); NR=PREDICTED: serine/threonine-protein kinase At5g01020-like [Musa acuminata subsp. malaccensis]; Swissprot=Serine/threonine-protein kinase At5g01020 OS=Arabidopsis thaliana GN=At5g01020 PE=1 SV=1; KEGG=serine/threonine-protein kinase At5g01020-like; K04733 interleukin-1 receptor-associated kinase 4 [EC:2.7.11.1] (A); IPRSCAN=IPR001245 Serine-threonine/tyrosine-protein kinase catalytic domain NULL NULL NULL NULL IPR002290 Serine/threonine- / dual specificity protein kinase, catalytic  domain IPR020635 Tyrosine-protein kinase, catalytic domain IPR000719 Protein kinase domain</t>
  </si>
  <si>
    <t>[translated] | GO=Molecular Function: magnesium ion binding (GO:0000287),Biological Process: metabolic process (GO:0008152),Molecular Function: terpene synthase activity (GO:0010333),Molecular Function: lyase activity (GO:0016829); NR=PREDICTED: (3S,6E)-nerolidol synthase 1-like [Vitis vinifera]; Swissprot=Probable terpene synthase 4 OS=Ricinus communis GN=TPS4 PE=3 SV=1; KEGG=(3S,6E)-nerolidol synthase 1-like; K15086 (3S)-linalool synthase [EC:4.2.3.25] (A); IPRSCAN=IPR005630 Terpene synthase, metal-binding domain IPR005630 Terpene synthase, metal-binding domain IPR001906 Terpene synthase, N-terminal domain NULL NULL NULL NULL</t>
  </si>
  <si>
    <t>[translated] | NR=PREDICTED: uncharacterized protein LOC103721853 [Phoenix dactylifera]; IPRSCAN=IPR007053 LRAT-like domain NULL NULL</t>
  </si>
  <si>
    <t>[translated] | GO=Biological Process: sucrose metabolic process (GO:0005985),Biological Process: biosynthetic process (GO:0009058),Molecular Function: sucrose synthase activity (GO:0016157); NR=sucrose synthase [Saccharum hybrid cultivar R570]; Swissprot=Sucrose synthase 5 OS=Oryza sativa subsp. japonica GN=SUS5 PE=2 SV=1; KEGG=sucrose synthase; K00695 sucrose synthase [EC:2.4.1.13] (A); IPRSCAN=IPR012820 Sucrose synthase, plant/cyanobacteria NULL NULL IPR000368 Sucrose synthase IPR001296 Glycosyl transferase, family 1</t>
  </si>
  <si>
    <t>[translated] | NR=hypothetical protein OsI_31983 [Oryza sativa Indica Group]; Swissprot=Multiple organellar RNA editing factor 8, chloroplastic/mitochondrial OS=Arabidopsis thaliana GN=MORF8 PE=1 SV=1; IPRSCAN=NULL NULL</t>
  </si>
  <si>
    <t>[translated] | NR=PREDICTED: heat shock cognate 70 kDa protein 2-like [Oryza brachyantha]; Swissprot=Probable mediator of RNA polymerase II transcription subunit 37e OS=Arabidopsis thaliana GN=MED37E PE=1 SV=3; KEGG=Os11g0703900; K03283 heat shock 70kDa protein 1/8 (A); IPRSCAN=NULL NULL IPR013126 Heat shock protein 70 family IPR013126 Heat shock protein 70 family IPR013126 Heat shock protein 70 family IPR013126 Heat shock protein 70 family IPR013126 Heat shock protein 70 family IPR013126 Heat shock protein 70 family IPR013126 Heat shock protein 70 family IPR013126 Heat shock protein 70 family IPR013126 Heat shock protein 70 family IPR013126 Heat shock protein 70 family</t>
  </si>
  <si>
    <t>[translated] | KEGG=transcription initiation factor TFIID subunit 4b-like isoform X1; K03129 transcription initiation factor TFIID subunit 4 (A)</t>
  </si>
  <si>
    <t>[translated] | GO=Molecular Function: aspartic-type endopeptidase activity (GO:0004190),Cellular Component: integral to membrane (GO:0016021); NR=PREDICTED: presenilin-like protein At2g29900-like [Glycine max]; Swissprot=Presenilin-like protein At2g29900 OS=Arabidopsis thaliana GN=At2g29900 PE=2 SV=1; KEGG=presenilin-like protein At2g29900; K04505 presenilin 1 [EC:3.4.23.-] (A); IPRSCAN=IPR001108 Peptidase A22A, presenilin IPR001108 Peptidase A22A, presenilin IPR001108 Peptidase A22A, presenilin IPR001108 Peptidase A22A, presenilin IPR006639 Presenilin/signal peptide peptidase NULL NULL IPR001108 Peptidase A22A, presenilin</t>
  </si>
  <si>
    <t>[translated] | GO=Molecular Function: zinc ion binding (GO:0008270),Molecular Function: oxidoreductase activity (GO:0016491),Biological Process: oxidation-reduction process (GO:0055114); NR=PREDICTED: alcohol dehydrogenase-like 1 isoform X1 [Populus euphratica]; Swissprot=Alcohol dehydrogenase class-3 OS=Oryza sativa subsp. japonica GN=Os02g0815500 PE=2 SV=1; KEGG=alcohol dehydrogenase class-3-like; K00121 S-(hydroxymethyl)glutathione dehydrogenase / alcohol dehydrogenase [EC:1.1.1.284 1.1.1.1] (A); IPRSCAN=NULL NULL IPR002085 Alcohol dehydrogenase superfamily, zinc-type</t>
  </si>
  <si>
    <t>[translated] | NR=PREDICTED: uncharacterized protein LOC105044548 [Elaeis guineensis]; IPRSCAN=NULL NULL IPR006869 Domain of unknown function DUF547</t>
  </si>
  <si>
    <t>[translated] | NR=PREDICTED: uncharacterized protein LOC102706312 [Oryza brachyantha]; IPRSCAN=IPR011692 Stress up-regulated Nod 19</t>
  </si>
  <si>
    <t>[translated] | NR=PREDICTED: uncharacterized protein LOC105040176 [Elaeis guineensis]; Swissprot=Metallothiol transferase FosB OS=Bacillus licheniformis (strain ATCC 14580 / DSM 13 / JCM 2505 / NBRC 12200 / NCIMB 9375 / NRRL NRS-1264 / Gibson 46) GN=fosB PE=3 SV=1; KEGG=nucleobase-ascorbate transporter 3-like; K14611 solute carrier family 23 (nucleobase transporter), member 1/2 (A); IPRSCAN=IPR025870 Glyoxalase-like domain NULL NULL NULL NULL</t>
  </si>
  <si>
    <t>[translated] | NR=PREDICTED: uncharacterized protein LOC103701781 [Phoenix dactylifera]; IPRSCAN=IPR008004 Uncharacterised protein family UPF0503</t>
  </si>
  <si>
    <t>[translated] | NR=Replication protein A 70 kDa DNA-binding subunit [Triticum urartu]; Swissprot=Replication protein A 70 kDa DNA-binding subunit B OS=Oryza sativa subsp. japonica GN=RPA1B PE=1 SV=1; KEGG=replication factor A 1, rfa1, putative; K07466 replication factor A1 (A); IPRSCAN=NULL NULL NULL NULL</t>
  </si>
  <si>
    <t>[translated] | NR=PREDICTED: gibberellin 20 oxidase 2 [Elaeis guineensis]; Swissprot=Gibberellin 20 oxidase 1-B OS=Triticum aestivum GN=GA20ox1B PE=2 SV=1; KEGG=gibberellin 20 oxidase 2-like; K05282 gibberellin 20-oxidase [EC:1.14.11.12] (A); IPRSCAN=NULL NULL NULL NULL IPR026992 Non-haem dioxygenase N-terminal domain</t>
  </si>
  <si>
    <t>[translated] | GO=Biological Process: isoprenoid biosynthetic process (GO:0008299); NR=geranylgeranyl pyrophosphate synthase [Chrysanthemum boreale]; Swissprot=Geranylgeranyl pyrophosphate synthase, chloroplastic OS=Hevea brasiliensis GN=GGPS PE=1 SV=1; KEGG=geranylgeranyl pyrophosphate synthase, chloroplastic-like; K13789 geranylgeranyl diphosphate synthase, type II [EC:2.5.1.1 2.5.1.10 2.5.1.29] (A); IPRSCAN=NULL NULL IPR017446 Polyprenyl synthetase-related IPR000092 Polyprenyl synthetase IPR000092 Polyprenyl synthetase</t>
  </si>
  <si>
    <t>[translated] | GO=Molecular Function: protein kinase activity (GO:0004672),Molecular Function: protein tyrosine kinase activity (GO:0004713),Molecular Function: ATP binding (GO:0005524),Biological Process: protein phosphorylation (GO:0006468); NR=PREDICTED: mitogen-activated protein kinase kinase 9-like [Phoenix dactylifera]; Swissprot=Mitogen-activated protein kinase kinase 7 OS=Arabidopsis thaliana GN=MKK7 PE=1 SV=1; KEGG=mitogen-activated protein kinase kinase 9-like; K04368 mitogen-activated protein kinase kinase 1 [EC:2.7.12.2] (A); IPRSCAN=IPR002290 Serine/threonine- / dual specificity protein kinase, catalytic  domain IPR020635 Tyrosine-protein kinase, catalytic domain IPR000719 Protein kinase domain IPR000719 Protein kinase domain NULL NULL NULL NULL</t>
  </si>
  <si>
    <t>[translated] | GO=Molecular Function: cysteine-type endopeptidase inhibitor activity (GO:0004869),Molecular Function: iron ion binding (GO:0005506),Molecular Function: heme binding (GO:0020037); NR=putative cysteine proteinase inhibitor [Oryza sativa Japonica Group]; Swissprot=Cysteine proteinase inhibitor 12 OS=Oryza sativa subsp. japonica GN=Os01g0270100 PE=2 SV=1; IPRSCAN=IPR000971 Globin IPR000010 Proteinase inhibitor I25, cystatin</t>
  </si>
  <si>
    <t>[translated] | NR=PREDICTED: mitochondrial carrier protein MTM1-like [Nelumbo nucifera]; Swissprot=Mitochondrial carrier protein MTM1 OS=Arabidopsis thaliana GN=MTM1 PE=2 SV=1; KEGG=mitochondrial carrier protein MTM1-like; K15119 solute carrier family 25, member 39/40 (A)</t>
  </si>
  <si>
    <t>[translated] | NR=PREDICTED: nonsense-mediated mRNA decay protein 2 [Cicer arietinum]; Swissprot=Uncharacterized protein C9orf85 homolog OS=Mus musculus PE=2 SV=1; IPRSCAN=NULL NULL NULL NULL IPR019351 Protein of unknown function DUF2039</t>
  </si>
  <si>
    <t>[translated] | GO=Molecular Function: calcium ion binding (GO:0005509),Cellular Component: endoplasmic reticulum (GO:0005783),Biological Process: protein folding (GO:0006457),Molecular Function: unfolded protein binding (GO:0051082); NR=PREDICTED: calreticulin-like [Setaria italica]; Swissprot=Calreticulin OS=Oryza sativa subsp. japonica GN=Os07g0246200 PE=1 SV=2; KEGG=calreticulin-like; K08057 calreticulin (A); IPRSCAN=NULL NULL IPR001580 Calreticulin/calnexin IPR001580 Calreticulin/calnexin IPR001580 Calreticulin/calnexin IPR001580 Calreticulin/calnexin IPR001580 Calreticulin/calnexin IPR001580 Calreticulin/calnexin IPR001580 Calreticulin/calnexin IPR001580 Calreticulin/calnexin</t>
  </si>
  <si>
    <t>[translated] | GO=Biological Process: metabolic process (GO:0008152),Molecular Function: oxidoreductase activity (GO:0016491); NR=unnamed protein product [Vitis vinifera]; Swissprot=Tropinone reductase homolog OS=Datura stramonium PE=2 SV=1; KEGG=tropinone reductase homolog At1g07440; K08081 tropinone reductase I [EC:1.1.1.206] (A); IPRSCAN=NULL NULL NULL NULL IPR002198 Short-chain dehydrogenase/reductase SDR</t>
  </si>
  <si>
    <t>[translated] | GO=Biological Process: metabolic process (GO:0008152),Molecular Function: transferase activity, transferring hexosyl groups (GO:0016758); NR=PREDICTED: UDP-glycosyltransferase 85A7-like isoform X1 [Phoenix dactylifera]; Swissprot=UDP-glycosyltransferase 85A1 OS=Arabidopsis thaliana GN=UGT85A1 PE=2 SV=1; KEGG=cyanohydrin beta-glucosyltransferase-like; K13030 cyanohydrin beta-glucosyltransferase [EC:2.4.1.85] (A); IPRSCAN=NULL NULL IPR002213 UDP-glucuronosyl/UDP-glucosyltransferase</t>
  </si>
  <si>
    <t>[translated] | GO=Molecular Function: transferase activity, transferring acyl groups other than amino-acyl groups (GO:0016747); NR=PREDICTED: 10-deacetylbaccatin III 10-O-acetyltransferase-like [Phoenix dactylifera]; Swissprot=10-deacetylbaccatin III 10-O-acetyltransferase OS=Taxus cuspidata PE=1 SV=1; KEGG=3'-N-debenzoyl-2'-deoxytaxol N-benzoyltransferase-like; K15400 omega-hydroxypalmitate O-feruloyl transferase [EC:2.3.1.188] (A); IPRSCAN=NULL NULL IPR003480 Transferase</t>
  </si>
  <si>
    <t>[translated] | GO=Molecular Function: protein binding (GO:0005515); NR=PREDICTED: nuclear pore complex protein Nup214-like [Elaeis guineensis]; Swissprot=Sperm-associated antigen 1A OS=Danio rerio GN=spag1a PE=2 SV=1; KEGG=hypothetical protein; K09553 stress-induced-phosphoprotein 1 (A); IPRSCAN=NULL NULL IPR019734 Tetratricopeptide repeat IPR019734 Tetratricopeptide repeat IPR019734 Tetratricopeptide repeat IPR013026 Tetratricopeptide repeat-containing domain NULL NULL NULL NULL</t>
  </si>
  <si>
    <t>[translated] | NR=PREDICTED: aladin [Nicotiana tomentosiformis]; Swissprot=Aladin OS=Arabidopsis thaliana GN=AAAS PE=1 SV=1; KEGG=aladin; K14320 aladin (A)</t>
  </si>
  <si>
    <t>[translated] | NR=PREDICTED: pentatricopeptide repeat-containing protein At5g56310 [Elaeis guineensis]; Swissprot=Pentatricopeptide repeat-containing protein At5g56310 OS=Arabidopsis thaliana GN=PCMP-E13 PE=2 SV=1; KEGG=uncharacterized LOC100250295; K03452 magnesium/proton exchanger (A); IPRSCAN=NULL NULL NULL NULL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t>
  </si>
  <si>
    <t>[translated] | GO=Molecular Function: aminomethyltransferase activity (GO:0004047),Cellular Component: cytoplasm (GO:0005737),Biological Process: glycine catabolic process (GO:0006546); NR=PREDICTED: aminomethyltransferase, mitochondrial [Nelumbo nucifera]; Swissprot=Putative transferase At1g60990, chloroplastic OS=Arabidopsis thaliana GN=At1g60990 PE=1 SV=1; KEGG=gcvT; glycine cleavage system T-protein; K00605 aminomethyltransferase [EC:2.1.2.10] (A); IPRSCAN=NULL NULL NULL NULL IPR006222 Glycine cleavage T-protein, N-terminal IPR013977 Glycine cleavage T-protein, C-terminal barrel</t>
  </si>
  <si>
    <t>[translated] | GO=Molecular Function: protein kinase activity (GO:0004672),Molecular Function: ATP binding (GO:0005524),Biological Process: protein phosphorylation (GO:0006468); NR=hypothetical protein B456_003G155700 [Gossypium raimondii]; Swissprot=Mitogen-activated protein kinase 4 OS=Arabidopsis thaliana GN=MPK4 PE=1 SV=2; KEGG=hypothetical protein; K04371 mitogen-activated protein kinase 1/3 [EC:2.7.11.24] (A); IPRSCAN=IPR000719 Protein kinase domain IPR019557 Aminotransferase-like, plant mobile domain IPR002290 Serine/threonine- / dual specificity protein kinase, catalytic  domain NULL NULL NULL NULL</t>
  </si>
  <si>
    <t>[translated] | NR=hypothetical protein PRUPE_ppb021408mg [Prunus persica]</t>
  </si>
  <si>
    <t>[translated] | GO=Molecular Function: sequence-specific DNA binding transcription factor activity (GO:0003700),Biological Process: regulation of transcription, DNA-dependent (GO:0006355),Molecular Function: sequence-specific DNA binding (GO:0043565); NR=PREDICTED: probable WRKY transcription factor 70 [Phoenix dactylifera]; Swissprot=Probable WRKY transcription factor 67 OS=Arabidopsis thaliana GN=WRKY67 PE=2 SV=1; KEGG=Os08g0499300; K18835 WRKY transcription factor 2 (A); IPRSCAN=IPR003657 DNA-binding WRKY IPR003657 DNA-binding WRKY IPR003657 DNA-binding WRKY</t>
  </si>
  <si>
    <t>[translated] | NR=PREDICTED: uncharacterized protein LOC105048309 [Elaeis guineensis]; Swissprot=Acyl-coenzyme A thioesterase 13 OS=Mus musculus GN=Acot13 PE=1 SV=1; KEGG=uncharacterized LOC105048309; K17362 acyl-coenzyme A thioesterase 13 [EC:3.1.2.-] (A); IPRSCAN=NULL NULL IPR006683 Thioesterase superfamily</t>
  </si>
  <si>
    <t>[translated] | GO=Molecular Function: nucleic acid binding (GO:0003676); NR=predicted protein [Physcomitrella patens]; Swissprot=Polyadenylate-binding protein RBP47B' OS=Arabidopsis thaliana GN=RBP47B' PE=2 SV=1; KEGG=polyadenylate-binding protein RBP45A-like; K03231 elongation factor 1-alpha (A); IPRSCAN=IPR000504 RNA recognition motif domain NULL NULL NULL NULL IPR000504 RNA recognition motif domain</t>
  </si>
  <si>
    <t>[translated] | NR=threonine synthase [Lens culinaris]; Swissprot=Threonine synthase, chloroplastic OS=Solanum tuberosum PE=2 SV=1; KEGG=threonine synthase, chloroplastic-like; K01733 threonine synthase [EC:4.2.3.1] (A); IPRSCAN=NULL NULL NULL NULL</t>
  </si>
  <si>
    <t>[translated] | NR=PREDICTED: U-box domain-containing protein 21 [Phoenix dactylifera]; Swissprot=U-box domain-containing protein 21 OS=Arabidopsis thaliana GN=PUB21 PE=2 SV=1</t>
  </si>
  <si>
    <t>[translated] | NR=PREDICTED: transmembrane protein 230-like [Elaeis guineensis]; Swissprot=Transmembrane protein 230 OS=Rattus norvegicus GN=Tmem230 PE=2 SV=1; IPRSCAN=IPR008590 Protein of unknown function DUF872, transmembrane NULL NULL</t>
  </si>
  <si>
    <t>[translated] | GO=Molecular Function: adenyl nucleotide binding (GO:0030554); NR=PREDICTED: CBS domain-containing protein CBSX6 isoform X1 [Elaeis guineensis]; Swissprot=CBS domain-containing protein CBSX6 OS=Arabidopsis thaliana GN=CBSX6 PE=1 SV=1; IPRSCAN=IPR000644 CBS domain IPR000644 CBS domain IPR000644 CBS domain</t>
  </si>
  <si>
    <t>[translated] | GO=Cellular Component: endoplasmic reticulum (GO:0005783),Biological Process: intracellular protein transport (GO:0006886),Cellular Component: integral to membrane (GO:0016021); NR=PREDICTED: B-cell receptor-associated protein 31-like [Musa acuminata subsp. malaccensis]; KEGG=B-cell receptor-associated protein 31-like; K14009 B-cell receptor-associated protein 31 (A); IPRSCAN=NULL NULL IPR008417 B-cell receptor-associated 31-like</t>
  </si>
  <si>
    <t>[translated] | NR=PREDICTED: uncharacterized protein LOC105048935 isoform X1 [Elaeis guineensis]; KEGG=hypothetical protein; K19995 secretory carrier-associated membrane protein (A); IPRSCAN=IPR007877 Protein of unknown function DUF707 NULL NULL</t>
  </si>
  <si>
    <t>[translated] | GO=Molecular Function: metal ion binding (GO:0046872); NR=PREDICTED: zinc finger protein ZAT9-like [Elaeis guineensis]; Swissprot=Zinc finger protein ZAT3 OS=Arabidopsis thaliana GN=ZAT3 PE=2 SV=1; IPRSCAN=IPR015880 Zinc finger, C2H2-like IPR015880 Zinc finger, C2H2-like IPR015880 Zinc finger, C2H2-like NULL NULL NULL NULL NULL NULL NULL NULL NULL NULL NULL NULL IPR007087 Zinc finger, C2H2 IPR007087 Zinc finger, C2H2 IPR007087 Zinc finger, C2H2</t>
  </si>
  <si>
    <t>[translated] | GO=Molecular Function: serine-type endopeptidase activity (GO:0004252),Molecular Function: protein binding (GO:0005515),Biological Process: proteolysis (GO:0006508); NR=PREDICTED: protease Do-like 10, mitochondrial [Elaeis guineensis]; Swissprot=Protease Do-like 10, mitochondrial OS=Arabidopsis thaliana GN=DEGP10 PE=2 SV=1; KEGG=translation factor GUF1 homolog, chloroplastic-like; K04771 serine protease Do [EC:3.4.21.107] (A); IPRSCAN=IPR001254 Peptidase S1 IPR001478 PDZ domain IPR001940 Peptidase S1C IPR001940 Peptidase S1C IPR001940 Peptidase S1C IPR001940 Peptidase S1C IPR015724 Serine endopeptidase DegP2 NULL NULL</t>
  </si>
  <si>
    <t>[translated] | NR=PREDICTED: autophagy-related protein 9-like [Elaeis guineensis]; Swissprot=Autophagy-related protein 9 OS=Dictyostelium discoideum GN=atg9 PE=2 SV=1; KEGG=autophagy-related protein 9-like; K17907 autophagy-related protein 9 (A); IPRSCAN=IPR007241 Autophagy-related protein 9 NULL NULL IPR007241 Autophagy-related protein 9</t>
  </si>
  <si>
    <t>[translated] | NR=PREDICTED: phosphopantothenate--cysteine ligase 2 [Phoenix dactylifera]; Swissprot=Phosphopantothenate--cysteine ligase 1 OS=Arabidopsis thaliana GN=PPCS1 PE=2 SV=1; KEGG=phosphopantothenate--cysteine ligase 2; K01922 phosphopantothenate-cysteine ligase [EC:6.3.2.5] (A); IPRSCAN=NULL NULL NULL NULL</t>
  </si>
  <si>
    <t>[translated] | NR=PREDICTED: zinc finger CCCH domain-containing protein 53-like isoform X2 [Phoenix dactylifera]; Swissprot=Zinc finger CCCH domain-containing protein 53 OS=Oryza sativa subsp. japonica GN=Os07g0682400 PE=2 SV=1; IPRSCAN=NULL NULL NULL NULL</t>
  </si>
  <si>
    <t>[translated] | NR=conserved hypothetical protein [Ricinus communis]; KEGG=DnaK family protein; K03283 heat shock 70kDa protein 1/8 (A)</t>
  </si>
  <si>
    <t>[translated] | GO=Biological Process: protein dephosphorylation (GO:0006470),Molecular Function: protein tyrosine/serine/threonine phosphatase activity (GO:0008138),Biological Process: dephosphorylation (GO:0016311),Molecular Function: phosphatase activity (GO:0016791); NR=PREDICTED: phosphoglucan phosphatase DSP4, amyloplastic isoform X1 [Elaeis guineensis]; Swissprot=Phosphoglucan phosphatase DSP4, amyloplastic OS=Castanea sativa GN=DSP4 PE=1 SV=1; KEGG=hypothetical protein; K14165 atypical dual specificity phosphatase [EC:3.1.3.16 3.1.3.48] (A); IPRSCAN=IPR000340 Dual specificity phosphatase, catalytic domain NULL NULL NULL NULL IPR020422 Dual specificity phosphatase, subgroup, catalytic domain IPR020422 Dual specificity phosphatase, subgroup, catalytic domain IPR000387 Protein-tyrosine/Dual specificity phosphatase</t>
  </si>
  <si>
    <t>[translated] | NR=PREDICTED: monoacylglycerol lipase ABHD6-like [Elaeis guineensis]; Swissprot=Epoxide hydrolase 3 OS=Xenopus tropicalis GN=ephx3 PE=2 SV=1; KEGG=hypothetical protein; K13700 abhydrolase domain-containing protein 6 [EC:3.1.1.23] (A); IPRSCAN=NULL NULL NULL NULL IPR000073 Alpha/beta hydrolase fold-1 IPR000073 Alpha/beta hydrolase fold-1 IPR000073 Alpha/beta hydrolase fold-1 NULL NULL</t>
  </si>
  <si>
    <t>[translated] | GO=Molecular Function: protein binding (GO:0005515); NR=PREDICTED: uncharacterized protein LOC103712004 [Phoenix dactylifera]; KEGG=uncharacterized LOC103712004; K17987 next to BRCA1 gene 1 protein (A); IPRSCAN=IPR000270 Phox/Bem1p IPR000270 Phox/Bem1p</t>
  </si>
  <si>
    <t>[translated] | GO=Cellular Component: nucleosome (GO:0000786),Molecular Function: DNA binding (GO:0003677),Biological Process: nucleosome assembly (GO:0006334); NR=PREDICTED: histone H3.3-like [Tarsius syrichta]; Swissprot=Histone H3.2 OS=Triticum aestivum PE=1 SV=2; KEGG=histone H3.2; K11253 histone H3 (A); IPRSCAN=IPR000164 Histone H3 IPR000164 Histone H3 IPR000164 Histone H3 NULL NULL IPR000164 Histone H3</t>
  </si>
  <si>
    <t>[translated] | GO=Cellular Component: nucleosome (GO:0000786),Molecular Function: DNA binding (GO:0003677),Biological Process: nucleosome assembly (GO:0006334); NR=Histone H3.2 [Triticum urartu]; Swissprot=Histone H3.2 OS=Triticum aestivum PE=1 SV=2; KEGG=histone H3; K11253 histone H3 (A); IPRSCAN=IPR007125 Histone core IPR000164 Histone H3 IPR000164 Histone H3 IPR000164 Histone H3 IPR000164 Histone H3</t>
  </si>
  <si>
    <t>[translated] | NR=PREDICTED: ubiquitin carboxyl-terminal hydrolase 25-like [Phoenix dactylifera]; Swissprot=Ubiquitin carboxyl-terminal hydrolase 25 OS=Arabidopsis thaliana GN=UBP25 PE=2 SV=1; KEGG=ubiquitin carboxyl-terminal hydrolase 25-like; K11855 ubiquitin carboxyl-terminal hydrolase 36/42 [EC:3.4.19.12] (A); IPRSCAN=NULL NULL NULL NULL IPR018783 Transcription factor, enhancer of yellow 2</t>
  </si>
  <si>
    <t>[translated] | NR=PREDICTED: uncharacterized protein DDB_G0274915-like isoform X3 [Phoenix dactylifera]; Swissprot=Nuclear pore complex protein NUP1 OS=Arabidopsis thaliana GN=NUP1 PE=1 SV=1; KEGG=uncharacterized LOC103947160; K03655 ATP-dependent DNA helicase RecG [EC:3.6.4.12] (A)</t>
  </si>
  <si>
    <t>[translated] | GO=Molecular Function: DNA binding (GO:0003677),Cellular Component: nucleus (GO:0005634); NR=PREDICTED: methyl-CpG-binding domain-containing protein 11-like [Nelumbo nucifera]; Swissprot=Methyl-CpG-binding domain-containing protein 10 OS=Arabidopsis thaliana GN=MBD10 PE=1 SV=1; IPRSCAN=IPR001739 Methyl-CpG DNA binding IPR001739 Methyl-CpG DNA binding</t>
  </si>
  <si>
    <t>[translated] | GO=Molecular Function: 5-methyltetrahydropteroyltriglutamate-homocysteine S-methyltransferase activity (GO:0003871),Molecular Function: zinc ion binding (GO:0008270),Biological Process: cellular amino acid biosynthetic process (GO:0008652); NR=TPA: putative methionine synthase family protein [Zea mays]; Swissprot=5-methyltetrahydropteroyltriglutamate--homocysteine methyltransferase OS=Mesembryanthemum crystallinum GN=METE PE=2 SV=1; KEGG=5-methyltetrahydropteroyltriglutamate--homocysteine methyltransferase; K00549 5-methyltetrahydropteroyltriglutamate--homocysteine methyltransferase [EC:2.1.1.14] (A); IPRSCAN=IPR013215 Cobalamin (vitamin B12)-independent methionine synthase MetE, N-terminal NULL NULL NULL NULL</t>
  </si>
  <si>
    <t>[translated] | GO=Molecular Function: ADP binding (GO:0043531); NR=PREDICTED: probable disease resistance protein At4g27220 [Erythranthe guttatus]; Swissprot=Disease resistance protein RPS5 OS=Arabidopsis thaliana GN=RPS5 PE=1 SV=2; KEGG=putative disease resistance protein At4g10780; K13459 disease resistance protein RPS2 (A); IPRSCAN=IPR002182 NB-ARC</t>
  </si>
  <si>
    <t>[translated] | NR=PREDICTED: uncharacterized protein LOC105050951 [Elaeis guineensis]; IPRSCAN=IPR025322 Protein of unknown function DUF4228, plant</t>
  </si>
  <si>
    <t>[translated] | GO=Molecular Function: DNA binding (GO:0003677),Molecular Function: protein dimerization activity (GO:0046983); NR=PREDICTED: agamous-like MADS-box protein AGL62 [Elaeis guineensis]; Swissprot=Agamous-like MADS-box protein AGL62 OS=Arabidopsis thaliana GN=AGL62 PE=1 SV=1; KEGG=agamous-like MADS-box protein AGL61; K12412 pheromone receptor transcription factor (A); IPRSCAN=IPR002100 Transcription factor, MADS-box IPR002100 Transcription factor, MADS-box IPR002100 Transcription factor, MADS-box IPR002100 Transcription factor, MADS-box IPR002100 Transcription factor, MADS-box NULL NULL IPR002100 Transcription factor, MADS-box</t>
  </si>
  <si>
    <t>[translated] | NR=PREDICTED: uncharacterized protein At5g01610 [Amborella trichopoda]; Swissprot=Uncharacterized protein At5g01610 OS=Arabidopsis thaliana GN=At5g01610 PE=1 SV=1; IPRSCAN=NULL NULL</t>
  </si>
  <si>
    <t>[translated] | NR=PREDICTED: uncharacterized protein LOC103983300 [Musa acuminata subsp. malaccensis]; IPRSCAN=IPR025322 Protein of unknown function DUF4228, plant</t>
  </si>
  <si>
    <t>[translated] | GO=Biological Process: mature ribosome assembly (GO:0042256),Molecular Function: ribosome binding (GO:0043022); NR=PREDICTED: eukaryotic translation initiation factor 6-2-like [Gossypium raimondii]; Swissprot=Eukaryotic translation initiation factor 6-2 OS=Arabidopsis thaliana GN=EIF6-2 PE=2 SV=1; KEGG=eukaryotic translation initiation factor 6-2-like; K03264 translation initiation factor 6 (A); IPRSCAN=IPR002769 Translation initiation factor IF6 NULL NULL IPR002769 Translation initiation factor IF6 IPR002769 Translation initiation factor IF6</t>
  </si>
  <si>
    <t>[translated] | NR=PREDICTED: uncharacterized protein LOC105059934 [Elaeis guineensis]</t>
  </si>
  <si>
    <t>[translated] | NR=PREDICTED: uncharacterized protein LOC105049295 [Elaeis guineensis]; KEGG=uncharacterized LOC105049295; K08869 aarF domain-containing kinase (A)</t>
  </si>
  <si>
    <t>[translated] | GO=Molecular Function: hydrolase activity, hydrolyzing O-glycosyl compounds (GO:0004553),Biological Process: carbohydrate metabolic process (GO:0005975); NR=PREDICTED: beta-galactosidase 6-like isoform X1 [Glycine max]; Swissprot=Beta-galactosidase 6 OS=Arabidopsis thaliana GN=BGAL6 PE=2 SV=1; KEGG=beta-galactosidase 12; K12309 beta-galactosidase [EC:3.2.1.23] (A); IPRSCAN=NULL NULL IPR001944 Glycoside hydrolase, family 35 IPR001944 Glycoside hydrolase, family 35 IPR001944 Glycoside hydrolase, family 35 IPR001944 Glycoside hydrolase, family 35 IPR001944 Glycoside hydrolase, family 35 IPR001944 Glycoside hydrolase, family 35</t>
  </si>
  <si>
    <t>[translated] | NR=PREDICTED: uncharacterized protein LOC103961107 [Pyrus x bretschneideri]; IPRSCAN=IPR007650 Protein of unknown function DUF581</t>
  </si>
  <si>
    <t>[translated] | GO=Cellular Component: extracellular region (GO:0005576),Biological Process: plant-type cell wall organization (GO:0009664); NR=PREDICTED: expansin-A10 [Phoenix dactylifera]; Swissprot=Expansin-A10 OS=Oryza sativa subsp. japonica GN=EXPA10 PE=2 SV=2; IPRSCAN=IPR007112 Expansin/pollen allergen, DPBB domain IPR007117 Expansin, cellulose-binding-like domain IPR002963 Expansin IPR002963 Expansin IPR002963 Expansin IPR002963 Expansin IPR002963 Expansin IPR002963 Expansin IPR002963 Expansin IPR002963 Expansin IPR002963 Expansin IPR007118 Expansin/Lol pI IPR007118 Expansin/Lol pI IPR007118 Expansin/Lol pI IPR007118 Expansin/Lol pI IPR007118 Expansin/Lol pI IPR007118 Expansin/Lol pI NULL NULL IPR007117 Expansin, cellulose-binding-like domain IPR009009 RlpA-like double-psi beta-barrel domain IPR007112 Expansin/pollen allergen, DPBB domain</t>
  </si>
  <si>
    <t>[translated] | NR=PREDICTED: uncharacterized protein LOC105035113 [Elaeis guineensis]; IPRSCAN=NULL NULL NULL NULL NULL NULL</t>
  </si>
  <si>
    <t>[translated] | GO=Molecular Function: Rab GTPase activator activity (GO:0005097),Biological Process: regulation of Rab GTPase activity (GO:0032313); NR=PREDICTED: TBC1 domain family member 15-like [Musa acuminata subsp. malaccensis]; Swissprot=TBC1 domain family member 15 OS=Mus musculus GN=Tbc1d15 PE=1 SV=1; KEGG=uncharacterized LOC100831005; K12840 splicing factor 45 (A); IPRSCAN=IPR000195 Rab-GTPase-TBC domain IPR000195 Rab-GTPase-TBC domain IPR000195 Rab-GTPase-TBC domain NULL NULL NULL NULL</t>
  </si>
  <si>
    <t>[translated] | GO=Cellular Component: cytoplasm (GO:0005737),Biological Process: translational termination (GO:0006415),Molecular Function: translation release factor activity, codon specific (GO:0016149); NR=unknown [Populus trichocarpa]; Swissprot=Eukaryotic peptide chain release factor subunit 1-1 OS=Arabidopsis thaliana GN=ERF1-1 PE=1 SV=2; KEGG=eukaryotic peptide chain release factor subunit 1-1-like; K03265 peptide chain release factor subunit 1 (A); IPRSCAN=IPR004403 Peptide chain release factor eRF1/aRF1 IPR005141 eRF1 domain 2</t>
  </si>
  <si>
    <t>[translated] | GO=Molecular Function: transporter activity (GO:0005215),Biological Process: transport (GO:0006810),Cellular Component: membrane (GO:0016020); NR=putative proton-dependent oligopeptide transport protein, partial [Elaeis guineensis]; Swissprot=Protein NRT1/ PTR FAMILY 8.2 OS=Arabidopsis thaliana GN=NPF8.2 PE=2 SV=1; KEGG=peptide transporter PTR1-like; K14638 solute carrier family 15 (peptide/histidine transporter), member 3/4 (A); IPRSCAN=NULL NULL IPR000109 Proton-dependent oligopeptide transporter family IPR000109 Proton-dependent oligopeptide transporter family</t>
  </si>
  <si>
    <t>[translated] | GO=Molecular Function: damaged DNA binding (GO:0003684),Molecular Function: ATP binding (GO:0005524),Biological Process: DNA repair (GO:0006281); NR=hypothetical protein RCOM_1487740 [Ricinus communis]; Swissprot=DNA repair protein RadA homolog OS=Campylobacter jejuni subsp. jejuni serotype O:2 (strain NCTC 11168) GN=radA PE=3 SV=1; KEGG=hypothetical protein; K04485 DNA repair protein RadA/Sms (A); IPRSCAN=NULL NULL IPR004504 DNA repair protein RadA</t>
  </si>
  <si>
    <t>[translated] | NR=PREDICTED: putative disease resistance protein RGA1 [Prunus mume]; Swissprot=Putative disease resistance protein RGA3 OS=Solanum bulbocastanum GN=RGA3 PE=2 SV=2; KEGG=hypothetical protein; K19613 leucine-rich repeat protein SHOC2 (A)</t>
  </si>
  <si>
    <t>[translated] | GO=Molecular Function: enzyme inhibitor activity (GO:0004857),Molecular Function: pectinesterase activity (GO:0030599); NR=PREDICTED: 21 kDa protein [Elaeis guineensis]; Swissprot=21 kDa protein OS=Daucus carota PE=2 SV=1; KEGG=hypothetical protein; K01051 pectinesterase [EC:3.1.1.11] (A); IPRSCAN=IPR006501 Pectinesterase inhibitor domain IPR006501 Pectinesterase inhibitor domain NULL NULL</t>
  </si>
  <si>
    <t>[translated] | NR=PREDICTED: uncharacterized protein LOC105047146 [Elaeis guineensis]</t>
  </si>
  <si>
    <t>[translated] | NR=PREDICTED: transmembrane protein 56 [Tarenaya hassleriana]</t>
  </si>
  <si>
    <t>[translated] | GO=Biological Process: lipid transport (GO:0006869),Molecular Function: lipid binding (GO:0008289); NR=Non-specific lipid-transfer 3 [Gossypium arboreum]; Swissprot=Non-specific lipid-transfer protein Cw18 OS=Hordeum vulgare GN=CW18 PE=1 SV=1; IPRSCAN=IPR000528 Plant lipid transfer protein/Par allergen IPR000528 Plant lipid transfer protein/Par allergen IPR000528 Plant lipid transfer protein/Par allergen IPR000528 Plant lipid transfer protein/Par allergen IPR016140 Bifunctional inhibitor/plant lipid transfer protein/seed storage helical domain</t>
  </si>
  <si>
    <t>[translated] | GO=Molecular Function: calcium ion binding (GO:0005509); NR=PREDICTED: probable serine/threonine protein phosphatase 2A regulatory subunit B''delta-like [Oryza brachyantha]; Swissprot=Serine/threonine protein phosphatase 2A regulatory subunit B''beta OS=Arabidopsis thaliana GN=B''BETA PE=1 SV=1; KEGG=probable serine/threonine protein phosphatase 2A regulatory subunit B''delta-like; K11583 serine/threonine-protein phosphatase 2A regulatory subunit B'' (A); IPRSCAN=NULL NULL IPR002048 EF-hand domain</t>
  </si>
  <si>
    <t>[translated] | NR=PREDICTED: non-specific lipid-transfer protein 8-like [Populus euphratica]; Swissprot=Antimicrobial protein Ace-AMP1 OS=Allium cepa PE=1 SV=1</t>
  </si>
  <si>
    <t>[translated] | GO=Molecular Function: protein domain specific binding (GO:0019904); NR=PREDICTED: 14-3-3-like protein [Elaeis guineensis]; Swissprot=14-3-3-like protein GF14 nu OS=Arabidopsis thaliana GN=GRF7 PE=1 SV=1; KEGG=14-3-3-like protein; K06630 14-3-3 protein epsilon (A); IPRSCAN=IPR023410 14-3-3 domain IPR000308 14-3-3 protein IPR000308 14-3-3 protein IPR000308 14-3-3 protein IPR000308 14-3-3 protein IPR000308 14-3-3 protein IPR023410 14-3-3 domain IPR000308 14-3-3 protein</t>
  </si>
  <si>
    <t>[translated] | GO=Molecular Function: protein binding (GO:0005515); NR=PREDICTED: WD repeat-containing protein 5 [Elaeis guineensis]; Swissprot=COMPASS-like H3K4 histone methylase component WDR5B OS=Arabidopsis thaliana GN=WDR5B PE=1 SV=1; KEGG=WD repeat-containing protein 5; K14963 COMPASS component SWD3 (A); IPRSCAN=IPR001680 WD40 repeat IPR001680 WD40 repeat IPR001680 WD40 repeat IPR001680 WD40 repeat NULL NULL NULL NULL IPR001680 WD40 repeat IPR001680 WD40 repeat IPR017986 WD40-repeat-containing domain IPR001680 WD40 repeat IPR001680 WD40 repeat IPR001680 WD40 repeat IPR020472 G-protein beta WD-40 repeat IPR020472 G-protein beta WD-40 repeat IPR020472 G-protein beta WD-40 repeat</t>
  </si>
  <si>
    <t>[translated] | NR=ferric reductase oxidase [Manihot esculenta]; Swissprot=Ferric reduction oxidase 6 OS=Arabidopsis thaliana GN=FRO6 PE=2 SV=1; IPRSCAN=NULL NULL NULL NULL</t>
  </si>
  <si>
    <t>[translated] | NR=PREDICTED: uncharacterized protein LOC105058496 [Elaeis guineensis]</t>
  </si>
  <si>
    <t>[translated] | NR=PREDICTED: heterogeneous nuclear ribonucleoprotein 1-like [Elaeis guineensis]; KEGG=heterogeneous nuclear ribonucleoprotein 1-like; K14411 RNA-binding protein Musashi (A)</t>
  </si>
  <si>
    <t>[translated] | GO=Molecular Function: oxidoreductase activity (GO:0016491),Biological Process: oxidation-reduction process (GO:0055114); NR=PREDICTED: laccase-3 [Phoenix dactylifera]; Swissprot=Laccase-3 OS=Oryza sativa subsp. japonica GN=LAC3 PE=2 SV=1; KEGG=laccase-3; K05909 laccase [EC:1.10.3.2] (A); IPRSCAN=NULL NULL NULL NULL IPR001117 Multicopper oxidase, type 1</t>
  </si>
  <si>
    <t>[translated] | NR=PREDICTED: mitotic spindle checkpoint protein BUBR1 [Solanum lycopersicum]; KEGG=mitotic spindle checkpoint protein BUBR1; K02178 checkpoint serine/threonine-protein kinase [EC:2.7.11.1] (A)</t>
  </si>
  <si>
    <t>[translated] | GO=Molecular Function: protein binding (GO:0005515); NR=PREDICTED: uncharacterized protein LOC103701984 [Phoenix dactylifera]; Swissprot=Nephrocystin-3 OS=Homo sapiens GN=NPHP3 PE=1 SV=1; KEGG=tetratricopeptide repeat domain containing protein; K19360 nephrocystin-3 (A); IPRSCAN=IPR019734 Tetratricopeptide repeat IPR019734 Tetratricopeptide repeat IPR019734 Tetratricopeptide repeat IPR019734 Tetratricopeptide repeat IPR019734 Tetratricopeptide repeat IPR019734 Tetratricopeptide repeat IPR019734 Tetratricopeptide repeat IPR013026 Tetratricopeptide repeat-containing domain IPR013026 Tetratricopeptide repeat-containing domain IPR013026 Tetratricopeptide repeat-containing domain NULL NULL NULL NULL NULL NULL IPR001440 Tetratricopeptide TPR-1 IPR019734 Tetratricopeptide repeat NULL NULL NULL NULL IPR019734 Tetratricopeptide repeat IPR019734 Tetratricopeptide repeat IPR019734 Tetratricopeptide repeat IPR019734 Tetratricopeptide repeat IPR019734 Tetratricopeptide repeat IPR019734 Tetratricopeptide repeat IPR019734 Tetratricopeptide repeat IPR019734 Tetratricopeptide repeat IPR019734 Tetratricopeptide repeat</t>
  </si>
  <si>
    <t>[translated] | GO=Cellular Component: cell wall (GO:0005618),Molecular Function: pectinesterase activity (GO:0030599),Biological Process: cell wall modification (GO:0042545); NR=pectin methylesterase [Oncidium hybrid cultivar]; Swissprot=Pectinesterase 1 OS=Solanum lycopersicum GN=PME1.9 PE=1 SV=5; KEGG=pectinesterase-like; K01051 pectinesterase [EC:3.1.1.11] (A); IPRSCAN=NULL NULL IPR000070 Pectinesterase, catalytic</t>
  </si>
  <si>
    <t>[translated] | GO=Molecular Function: DNA binding (GO:0003677),Molecular Function: DNA-directed RNA polymerase activity (GO:0003899),Biological Process: transcription, DNA-dependent (GO:0006351); NR=RNA polymerase beta subunit [Calathea lutea]; Swissprot=DNA-directed RNA polymerase subunit beta' OS=Lemna minor GN=rpoC1 PE=3 SV=1; KEGG=rpoC1, PhdaC_p012; DNA-directed RNA polymerase beta' chain; K03046 DNA-directed RNA polymerase subunit beta' [EC:2.7.7.6] (A); IPRSCAN=IPR006592 RNA polymerase, N-terminal IPR007080 RNA polymerase Rpb1, domain 1 IPR000722 RNA polymerase, alpha subunit NULL NULL NULL NULL</t>
  </si>
  <si>
    <t>[translated] | GO=Molecular Function: oxidoreductase activity (GO:0016491),Molecular Function: oxidoreductase activity, acting on paired donors, with incorporation or reduction of molecular oxygen, 2-oxoglutarate as one donor, and incorporation of one atom each of oxygen into both donors (GO:0016706),Biological Process: oxidation-reduction process (GO:0055114); NR=PREDICTED: probable 2-oxoglutarate/Fe(II)-dependent dioxygenase [Elaeis guineensis]; Swissprot=1-aminocyclopropane-1-carboxylate oxidase 3 OS=Petunia hybrida GN=ACO3 PE=3 SV=1; KEGG=1-aminocyclopropane-1-carboxylate oxidase 5; K05933 aminocyclopropanecarboxylate oxidase [EC:1.14.17.4] (A); IPRSCAN=NULL NULL NULL NULL IPR005123 Oxoglutarate/iron-dependent dioxygenase</t>
  </si>
  <si>
    <t>[translated] | NR=PREDICTED: replication protein A 70 kDa DNA-binding subunit B [Vitis vinifera]; Swissprot=Replication protein A 70 kDa DNA-binding subunit B OS=Oryza sativa subsp. japonica GN=RPA1B PE=1 SV=1; KEGG=replication protein A 70 kDa DNA-binding subunit B; K07466 replication factor A1 (A); IPRSCAN=IPR013955 Replication factor A, C-terminal NULL NULL</t>
  </si>
  <si>
    <t>[translated] | GO=Molecular Function: hydrolase activity (GO:0016787); NR=predicted protein [Hordeum vulgare subsp. vulgare]; Swissprot=Uncharacterized protein C1F8.04c OS=Schizosaccharomyces pombe (strain 972 / ATCC 24843) GN=SPAC1F8.04c PE=3 SV=1; KEGG=5-methylthioadenosine/S-adenosylhomocysteine deaminase, putative; K12960 5-methylthioadenosine/S-adenosylhomocysteine deaminase [EC:3.5.4.31 3.5.4.28] (A); IPRSCAN=IPR006680 Amidohydrolase 1 NULL NULL NULL NULL</t>
  </si>
  <si>
    <t>[translated] | GO=Biological Process: response to desiccation (GO:0009269); NR=PREDICTED: late embryogenesis abundant protein Lea14-A [Musa acuminata subsp. malaccensis]; Swissprot=Desiccation protectant protein Lea14 homolog OS=Glycine max PE=2 SV=1; IPRSCAN=IPR013990 Water stress and hypersensitive response domain NULL NULL IPR004864 Late embryogenesis abundant protein, LEA-14 NULL NULL NULL NULL</t>
  </si>
  <si>
    <t>[translated] | GO=Cellular Component: anaphase-promoting complex (GO:0005680); NR=PREDICTED: anaphase-promoting complex subunit 1-like, partial [Elaeis guineensis]; Swissprot=Anaphase-promoting complex subunit 1 OS=Arabidopsis thaliana GN=APC1 PE=2 SV=1; KEGG=anaphase-promoting complex subunit 1; K03348 anaphase-promoting complex subunit 1 (A); IPRSCAN=NULL NULL IPR024990 Anaphase-promoting complex subunit 1</t>
  </si>
  <si>
    <t>[translated] | GO=Molecular Function: protein kinase activity (GO:0004672),Molecular Function: protein tyrosine kinase activity (GO:0004713),Molecular Function: protein binding (GO:0005515),Molecular Function: ATP binding (GO:0005524),Biological Process: protein phosphorylation (GO:0006468); NR=PREDICTED: probable LRR receptor-like serine/threonine-protein kinase At1g53430 [Phoenix dactylifera]; Swissprot=Probable LRR receptor-like serine/threonine-protein kinase At1g53430 OS=Arabidopsis thaliana GN=At1g53430 PE=1 SV=1; KEGG=probable leucine-rich repeat receptor-like serine/threonine-protein kinase At3g14840; K04733 interleukin-1 receptor-associated kinase 4 [EC:2.7.11.1] (A); IPRSCAN=NULL NULL NULL NULL IPR002290 Serine/threonine- / dual specificity protein kinase, catalytic  domain IPR020635 Tyrosine-protein kinase, catalytic domain IPR000719 Protein kinase domain IPR001611 Leucine-rich repeat IPR001245 Serine-threonine/tyrosine-protein kinase catalytic domain IPR021720 Malectin</t>
  </si>
  <si>
    <t>[translated] | NR=PREDICTED: CWF19-like protein 2 [Phoenix dactylifera]; Swissprot=CWF19-like protein 2 OS=Mus musculus GN=Cwf19l2 PE=2 SV=1; KEGG=CHUK, CWF19L1; conserved helix-loop-helix ubiquitous kinase; K04467 inhibitor of nuclear factor kappa-B kinase subunit alpha [EC:2.7.11.10] (A); IPRSCAN=IPR006768 Cwf19-like, C-terminal domain-1 IPR006767 Cwf19-like protein, C-terminal domain-2 NULL NULL NULL NULL</t>
  </si>
  <si>
    <t>[translated] | NR=PREDICTED: cytosolic sulfotransferase 14-like, partial [Phoenix dactylifera]</t>
  </si>
  <si>
    <t>[translated] | NR=PREDICTED: pentatricopeptide repeat-containing protein At1g66345, mitochondrial [Elaeis guineensis]; Swissprot=Pentatricopeptide repeat-containing protein At1g66345, mitochondrial OS=Arabidopsis thaliana GN=At1g66345 PE=3 SV=1; KEGG=pentatricopeptide repeat-containing protein At5g61990, mitochondrial; K17964 leucine-rich PPR motif-containing protein, mitochondrial (A); IPRSCAN=IPR002885 Pentatricopeptide repeat IPR002885 Pentatricopeptide repeat IPR002885 Pentatricopeptide repeat NULL NULL IPR002885 Pentatricopeptide repeat IPR002885 Pentatricopeptide repeat IPR002885 Pentatricopeptide repeat IPR002885 Pentatricopeptide repeat IPR002885 Pentatricopeptide repeat IPR002885 Pentatricopeptide repeat</t>
  </si>
  <si>
    <t>[translated] | GO=Molecular Function: prephenate dehydrogenase (NADP+) activity (GO:0004665),Biological Process: tyrosine biosynthetic process (GO:0006571),Molecular Function: prephenate dehydrogenase activity (GO:0008977),Biological Process: oxidation-reduction process (GO:0055114); NR=PREDICTED: arogenate dehydrogenase 1, chloroplastic isoform X1 [Vitis vinifera]; Swissprot=Arogenate dehydrogenase 2, chloroplastic OS=Arabidopsis thaliana GN=TYRAAT2 PE=1 SV=1; KEGG=arogenate dehydrogenase 1, chloroplastic; K15227 arogenate dehydrogenase (NADP+), plant [EC:1.3.1.78] (A); IPRSCAN=IPR003099 Prephenate dehydrogenase IPR003099 Prephenate dehydrogenase NULL NULL NULL NULL</t>
  </si>
  <si>
    <t>[translated] | NR=transposon protein-like [Arabidopsis thaliana]; IPRSCAN=IPR004252 Probable transposase, Ptta/En/Spm, plant</t>
  </si>
  <si>
    <t>[translated] | GO=Molecular Function: hydrolase activity, hydrolyzing O-glycosyl compounds (GO:0004553),Biological Process: carbohydrate metabolic process (GO:0005975); NR=Glycosyl hydrolase superfamily protein isoform 1 [Theobroma cacao]; Swissprot=Mannan endo-1,4-beta-mannosidase 4 OS=Solanum lycopersicum GN=MAN4 PE=1 SV=2; KEGG=Glycosyl hydrolase superfamily protein isoform 1; K19355 mannan endo-1,4-beta-mannosidase [EC:3.2.1.78] (A); IPRSCAN=NULL NULL IPR001547 Glycoside hydrolase, family 5</t>
  </si>
  <si>
    <t>[translated] | NR=PREDICTED: cystinosin homolog [Phoenix dactylifera]; Swissprot=Cystinosin homolog OS=Arabidopsis thaliana GN=At5g40670 PE=2 SV=1; KEGG=cystinosin homolog; K12386 cystinosin (A); IPRSCAN=IPR005282 Lysosomal cystine transporter</t>
  </si>
  <si>
    <t>[translated] | GO=Molecular Function: ATP binding (GO:0005524),Biological Process: protein folding (GO:0006457),Biological Process: cellular protein metabolic process (GO:0044267),Molecular Function: unfolded protein binding (GO:0051082); NR=PREDICTED: T-complex protein 1 subunit epsilon [Elaeis guineensis]; Swissprot=T-complex protein 1 subunit epsilon OS=Arabidopsis thaliana GN=CCT5 PE=1 SV=1; KEGG=T-complex protein 1 subunit epsilon; K09497 T-complex protein 1 subunit epsilon (A); IPRSCAN=IPR017998 Chaperone tailless complex polypeptide 1 (TCP-1) IPR017998 Chaperone tailless complex polypeptide 1 (TCP-1) IPR017998 Chaperone tailless complex polypeptide 1 (TCP-1) IPR017998 Chaperone tailless complex polypeptide 1 (TCP-1) IPR017998 Chaperone tailless complex polypeptide 1 (TCP-1) IPR012718 T-complex protein 1, epsilon subunit IPR002423 Chaperonin Cpn60/TCP-1 IPR002423 Chaperonin Cpn60/TCP-1</t>
  </si>
  <si>
    <t>[translated] | GO=Molecular Function: methyltransferase activity (GO:0008168); NR=PREDICTED: anthranilate O-methyltransferase 1-like [Elaeis guineensis]; Swissprot=Anthranilate O-methyltransferase 1 OS=Zea mays GN=AAMT1 PE=1 SV=1; KEGG=anthranilate O-methyltransferase 1-like; K08241 jasmonate O-methyltransferase [EC:2.1.1.141] (A); IPRSCAN=IPR005299 SAM dependent carboxyl methyltransferase NULL NULL NULL NULL</t>
  </si>
  <si>
    <t>[translated] | GO=Molecular Function: protein binding (GO:0005515); NR=hypothetical protein SETTUDRAFT_152235 [Setosphaeria turcica Et28A]; Swissprot=Elongator complex protein 2 OS=Saccharomyces cerevisiae (strain ATCC 204508 / S288c) GN=ELP2 PE=1 SV=1; KEGG=hypothetical protein; K11374 elongator complex protein 2 (A); IPRSCAN=IPR001680 WD40 repeat IPR001680 WD40 repeat IPR001680 WD40 repeat IPR001680 WD40 repeat IPR001680 WD40 repeat IPR001680 WD40 repeat IPR001680 WD40 repeat IPR001680 WD40 repeat IPR001680 WD40 repeat IPR001680 WD40 repeat IPR001680 WD40 repeat IPR001680 WD40 repeat IPR001680 WD40 repeat IPR017986 WD40-repeat-containing domain IPR017986 WD40-repeat-containing domain NULL NULL NULL NULL IPR001680 WD40 repeat IPR001680 WD40 repeat IPR001680 WD40 repeat IPR001680 WD40 repeat IPR001680 WD40 repeat IPR001680 WD40 repeat IPR001680 WD40 repeat IPR001680 WD40 repeat IPR001680 WD40 repeat IPR001680 WD40 repeat IPR001680 WD40 repeat IPR020472 G-protein beta WD-40 repeat IPR020472 G-protein beta WD-40 repeat IPR020472 G-protein beta WD-40 repeat</t>
  </si>
  <si>
    <t>[translated] | GO=Molecular Function: nucleotide binding (GO:0000166),Molecular Function: ATP binding (GO:0005524),Biological Process: transport (GO:0006810),Cellular Component: membrane (GO:0016020),Cellular Component: integral to membrane (GO:0016021),Molecular Function: ATPase activity (GO:0016887),Molecular Function: nucleoside-triphosphatase activity (GO:0017111),Molecular Function: ATPase activity, coupled to transmembrane movement of substances (GO:0042626); NR=ABC transporter [Alternaria brassicicola]; Swissprot=ABC transporter G family member 21 OS=Dictyostelium discoideum GN=abcG21 PE=3 SV=1; KEGG=hypothetical protein; K08712 ATP-binding cassette, subfamily G (WHITE), member 2, SNQ2 (A); IPRSCAN=IPR013525 ABC-2 type transporter IPR013525 ABC-2 type transporter IPR003439 ABC transporter-like IPR003439 ABC transporter-like IPR010929 CDR ABC transporter IPR003439 ABC transporter-like IPR003439 ABC transporter-like NULL NULL NULL NULL IPR003593 AAA+ ATPase domain IPR003593 AAA+ ATPase domain</t>
  </si>
  <si>
    <t>[translated] | NR=PREDICTED: interactor of constitutive active ROPs 4-like [Elaeis guineensis]; Swissprot=Interactor of constitutive active ROPs 3 OS=Arabidopsis thaliana GN=ICR3 PE=1 SV=1</t>
  </si>
  <si>
    <t>[translated] | GO=Molecular Function: nutrient reservoir activity (GO:0045735); NR=PREDICTED: glutelin type-A 1-like [Musa acuminata subsp. malaccensis]; Swissprot=Glutelin type-A 1 OS=Oryza sativa subsp. japonica GN=GLUA1 PE=1 SV=2; IPRSCAN=IPR006045 Cupin 1 NULL NULL IPR006045 Cupin 1 IPR006044 11-S seed storage protein, plant IPR006044 11-S seed storage protein, plant IPR006044 11-S seed storage protein, plant IPR006044 11-S seed storage protein, plant IPR006044 11-S seed storage protein, plant IPR006044 11-S seed storage protein, plant</t>
  </si>
  <si>
    <t>[translated] | NR=PREDICTED: uncharacterized protein LOC103720495 isoform X3 [Phoenix dactylifera]; KEGG=uncharacterized LOC103720495; K12951 cation-transporting P-type ATPase D [EC:3.6.3.-] (A)</t>
  </si>
  <si>
    <t>[translated] | NR=PREDICTED: dihydrofolate reductase-like [Oryza brachyantha]; KEGG=family of serine hydrolases 3-like; K02183 calmodulin (A); IPRSCAN=IPR005645 Serine hydrolase FSH</t>
  </si>
  <si>
    <t>[translated] | NR=PREDICTED: protein ENDOSPERM DEFECTIVE 1-like [Phoenix dactylifera]; Swissprot=Protein ENDOSPERM DEFECTIVE 1 OS=Arabidopsis thaliana GN=EDE1 PE=1 SV=1; IPRSCAN=IPR007573 Protein of unknown function DUF566 NULL NULL</t>
  </si>
  <si>
    <t>[translated] | GO=Molecular Function: diacylglycerol kinase activity (GO:0004143),Biological Process: protein kinase C-activating G-protein coupled receptor signaling pathway (GO:0007205); NR=PREDICTED: diacylglycerol kinase 3 isoform X1 [Vitis vinifera]; Swissprot=Diacylglycerol kinase 4 OS=Arabidopsis thaliana GN=DGK4 PE=2 SV=1; KEGG=diacylglycerol kinase 3; K00901 diacylglycerol kinase (ATP) [EC:2.7.1.107] (A); IPRSCAN=IPR001206 Diacylglycerol kinase, catalytic domain IPR000756 Diacylglycerol kinase, accessory domain IPR000756 Diacylglycerol kinase, accessory domain IPR001206 Diacylglycerol kinase, catalytic domain NULL NULL NULL NULL IPR001206 Diacylglycerol kinase, catalytic domain</t>
  </si>
  <si>
    <t>[translated] | NR=PREDICTED: uncharacterized protein LOC103976242 [Musa acuminata subsp. malaccensis]; IPRSCAN=IPR012876 Protein of unknown function DUF1677, plant</t>
  </si>
  <si>
    <t>[translated] | GO=Molecular Function: transcription cofactor activity (GO:0003712),Molecular Function: histone acetyltransferase activity (GO:0004402),Cellular Component: nucleus (GO:0005634),Biological Process: regulation of transcription, DNA-dependent (GO:0006355),Molecular Function: zinc ion binding (GO:0008270); NR=BTB/POZ and TAZ domain-containing protein 2 [Glycine soja]; Swissprot=BTB/POZ and TAZ domain-containing protein 2 OS=Arabidopsis thaliana GN=BT2 PE=1 SV=1; KEGG=BTB/POZ and TAZ domain-containing protein 2; K00517 [EC:1.14.-.-] (A); IPRSCAN=IPR000197 Zinc finger, TAZ-type IPR000197 Zinc finger, TAZ-type NULL NULL NULL NULL</t>
  </si>
  <si>
    <t>[translated] | NR=PREDICTED: uncharacterized protein LOC105043712 [Elaeis guineensis]; KEGG=uncharacterized LOC105043712; K17662 cytochrome b pre-mRNA-processing protein 3 (A)</t>
  </si>
  <si>
    <t>[translated] | GO=Molecular Function: calmodulin binding (GO:0005516); NR=PREDICTED: serine/arginine repetitive matrix protein 1-like [Nelumbo nucifera]; IPRSCAN=IPR012417 Calmodulin-binding domain, plant</t>
  </si>
  <si>
    <t>[translated] | NR=PREDICTED: 3-hydroxyisobutyryl-CoA hydrolase 1 isoform X1 [Vitis vinifera]; Swissprot=Probable 3-hydroxyisobutyryl-CoA hydrolase 3 OS=Arabidopsis thaliana GN=At2g30660 PE=2 SV=1; KEGG=3-hydroxyisobutyryl-CoA hydrolase 1; K05605 3-hydroxyisobutyryl-CoA hydrolase [EC:3.1.2.4] (A); IPRSCAN=IPR024752 Myb/SANT-like domain</t>
  </si>
  <si>
    <t>[translated] | GO=Biological Process: lipid biosynthetic process (GO:0008610); NR=PREDICTED: (S)-coclaurine N-methyltransferase isoform X1 [Sesamum indicum]; Swissprot=(S)-coclaurine N-methyltransferase OS=Thalictrum flavum subsp. glaucum PE=1 SV=1; KEGG=(S)-coclaurine N-methyltransferase-like; K13384 (S)-coclaurine N-methyltransferase [EC:2.1.1.140] (A); IPRSCAN=IPR003333 Mycolic acid cyclopropane synthase NULL NULL NULL NULL</t>
  </si>
  <si>
    <t>[translated] | GO=Biological Process: protein folding (GO:0006457); NR=PREDICTED: 70 kDa peptidyl-prolyl isomerase-like isoform X1 [Elaeis guineensis]; Swissprot=Peptidyl-prolyl cis-trans isomerase FKBP65 OS=Arabidopsis thaliana GN=FKBP65 PE=1 SV=1; KEGG=70 kDa peptidyl-prolyl isomerase-like; K09571 FK506-binding protein 4/5 [EC:5.2.1.8] (A); IPRSCAN=IPR001179 Peptidyl-prolyl cis-trans isomerase, FKBP-type, domain NULL NULL IPR023566 Peptidyl-prolyl cis-trans isomerase, FKBP-type IPR001179 Peptidyl-prolyl cis-trans isomerase, FKBP-type, domain</t>
  </si>
  <si>
    <t>[translated] | GO=Cellular Component: integral to membrane (GO:0016021),Biological Process: transmembrane transport (GO:0055085); NR=PREDICTED: cation/calcium exchanger 1-like [Elaeis guineensis]; Swissprot=Cation/calcium exchanger 1 OS=Arabidopsis thaliana GN=CCX1 PE=2 SV=1; KEGG=cation/calcium exchanger 1-like; K13754 solute carrier family 24 (sodium/potassium/calcium exchanger), member 6 (A); IPRSCAN=NULL NULL NULL NULL IPR004837 Sodium/calcium exchanger membrane region IPR004837 Sodium/calcium exchanger membrane region</t>
  </si>
  <si>
    <t>[translated] | GO=Biological Process: transmembrane transport (GO:0055085); NR=PREDICTED: mitochondrial substrate carrier family protein B [Amborella trichopoda]; Swissprot=Mitochondrial coenzyme A transporter SLC25A42 OS=Xenopus tropicalis GN=slc25a42 PE=2 SV=1; KEGG=mitochondrial substrate carrier family protein B; K14684 solute carrier family 25 (mitochondrial phosphate transporter), member 23/24/25/41 (A); IPRSCAN=IPR002067 Mitochondrial carrier protein IPR002067 Mitochondrial carrier protein IPR018108 Mitochondrial substrate/solute carrier IPR018108 Mitochondrial substrate/solute carrier IPR018108 Mitochondrial substrate/solute carrier IPR018108 Mitochondrial substrate/solute carrier NULL NULL NULL NULL</t>
  </si>
  <si>
    <t>[translated] | GO=Molecular Function: nucleic acid binding (GO:0003676); NR=PREDICTED: RNA-binding protein 24-like [Elaeis guineensis]; Swissprot=Probable RNA-binding protein ARP1 OS=Arabidopsis thaliana GN=ARP1 PE=2 SV=1; KEGG=UBP1-associated protein 2C-like; K12741 heterogeneous nuclear ribonucleoprotein A1/A3 (A); IPRSCAN=IPR000504 RNA recognition motif domain IPR000504 RNA recognition motif domain IPR000504 RNA recognition motif domain NULL NULL NULL NULL</t>
  </si>
  <si>
    <t>[translated] | GO=Molecular Function: catalytic activity (GO:0003824),Molecular Function: branched-chain-amino-acid transaminase activity (GO:0004084),Biological Process: metabolic process (GO:0008152),Biological Process: branched-chain amino acid metabolic process (GO:0009081); NR=hypothetical protein OsI_34568 [Oryza sativa Indica Group]; Swissprot=Branched-chain-amino-acid aminotransferase 5, chloroplastic OS=Arabidopsis thaliana GN=BCAT5 PE=1 SV=1; KEGG=Os05g0558400; K00826 branched-chain amino acid aminotransferase [EC:2.6.1.42] (A); IPRSCAN=IPR005786 Branched-chain amino acid aminotransferase II IPR001544 Aminotransferase, class IV</t>
  </si>
  <si>
    <t>[translated] | GO=Cellular Component: nucleosome (GO:0000786),Molecular Function: DNA binding (GO:0003677),Cellular Component: nucleus (GO:0005634),Biological Process: nucleosome assembly (GO:0006334); NR=Histone H2B [Medicago truncatula]; Swissprot=Histone H2B OS=Nicotiana tabacum GN=HIS2B PE=2 SV=3; KEGG=core histone H2A/H2B/H3/H4; K11252 histone H2B (A); IPRSCAN=IPR000558 Histone H2B IPR000558 Histone H2B IPR000558 Histone H2B IPR000558 Histone H2B IPR000558 Histone H2B IPR000558 Histone H2B IPR000558 Histone H2B IPR007125 Histone core</t>
  </si>
  <si>
    <t>[translated] | NR=PREDICTED: chaperone protein dnaJ 11, chloroplastic-like [Zea mays]; Swissprot=Chaperone protein dnaJ 11, chloroplastic OS=Arabidopsis thaliana GN=ATJ11 PE=1 SV=2; KEGG=CDJ2; chloroplast DnaJ-like protein; K03686 molecular chaperone DnaJ (A); IPRSCAN=IPR001623 DnaJ domain IPR001623 DnaJ domain IPR001623 DnaJ domain IPR001623 DnaJ domain NULL NULL IPR001623 DnaJ domain IPR001623 DnaJ domain</t>
  </si>
  <si>
    <t>[translated] | GO=Molecular Function: lipid transporter activity (GO:0005319),Biological Process: lipid transport (GO:0006869),Cellular Component: integral to membrane (GO:0016021); NR=PREDICTED: protein RFT1 homolog isoform X2 [Elaeis guineensis]; Swissprot=Protein RFT1 homolog OS=Dictyostelium discoideum GN=rft1 PE=3 SV=1; KEGG=protein RFT1 homolog; K06316 oligosaccharide translocation protein RFT1 (A); IPRSCAN=IPR007594 RFT1 IPR007594 RFT1</t>
  </si>
  <si>
    <t>[translated] | NR=transmembrane protein, putative [Medicago truncatula]</t>
  </si>
  <si>
    <t>[translated] | GO=Molecular Function: structural constituent of ribosome (GO:0003735),Cellular Component: intracellular (GO:0005622),Cellular Component: ribosome (GO:0005840),Biological Process: translation (GO:0006412); NR=PREDICTED: 40S ribosomal protein S17-4-like [Tarenaya hassleriana]; Swissprot=40S ribosomal protein S17 OS=Solanum lycopersicum GN=RPS17 PE=2 SV=3; KEGG=40S ribosomal protein S17-4-like; K02962 small subunit ribosomal protein S17e (A); IPRSCAN=IPR001210 Ribosomal protein S17e IPR001210 Ribosomal protein S17e</t>
  </si>
  <si>
    <t>[translated] | GO=Molecular Function: nutrient reservoir activity (GO:0045735); NR=hypothetical protein L484_022675 [Morus notabilis]; Swissprot=Germin-like protein subfamily 2 member 1 OS=Arabidopsis thaliana GN=GLP4 PE=2 SV=2; KEGG=uncharacterized LOC101250545; K11426 SET and MYND domain-containing protein (A); IPRSCAN=NULL NULL IPR006045 Cupin 1</t>
  </si>
  <si>
    <t>[translated] | GO=Molecular Function: phosphoglycerate kinase activity (GO:0004618),Biological Process: glycolysis (GO:0006096); NR=PREDICTED: phosphoglycerate kinase, cytosolic-like [Musa acuminata subsp. malaccensis]; Swissprot=Phosphoglycerate kinase, cytosolic OS=Triticum aestivum PE=2 SV=1; KEGG=phosphoglycerate kinase, cytosolic-like; K00927 phosphoglycerate kinase [EC:2.7.2.3] (A); IPRSCAN=IPR001576 Phosphoglycerate kinase IPR001576 Phosphoglycerate kinase NULL NULL IPR001576 Phosphoglycerate kinase IPR001576 Phosphoglycerate kinase</t>
  </si>
  <si>
    <t>[translated] | GO=Molecular Function: protein binding (GO:0005515); NR=PREDICTED: protein argonaute PNH1 [Amborella trichopoda]; Swissprot=Protein argonaute 1 OS=Arabidopsis thaliana GN=AGO1 PE=1 SV=1; KEGG=protein argonaute 10-like; K11593 eukaryotic translation initiation factor 2C (A); IPRSCAN=NULL NULL IPR003165 Stem cell self-renewal protein Piwi IPR003165 Stem cell self-renewal protein Piwi</t>
  </si>
  <si>
    <t>[translated] | NR=PREDICTED: LOW QUALITY PROTEIN: pentatricopeptide repeat-containing protein At1g71490-like [Phoenix dactylifera]; Swissprot=Pentatricopeptide repeat-containing protein At1g71490 OS=Arabidopsis thaliana GN=PCMP-E67 PE=2 SV=1; KEGG=uncharacterized LOC100834933; K08819 cyclin-dependent kinase 12/13 [EC:2.7.11.22 2.7.11.23] (A); IPRSCAN=NULL NULL NULL NULL IPR002885 Pentatricopeptide repeat IPR002885 Pentatricopeptide repeat IPR002885 Pentatricopeptide repeat IPR002885 Pentatricopeptide repeat IPR002885 Pentatricopeptide repeat IPR002885 Pentatricopeptide repeat IPR002885 Pentatricopeptide repeat IPR002885 Pentatricopeptide repeat</t>
  </si>
  <si>
    <t>[translated] | GO=Cellular Component: integral to membrane (GO:0016021),Molecular Function: transmembrane transporter activity (GO:0022857),Biological Process: transmembrane transport (GO:0055085); NR=PREDICTED: organic cation/carnitine transporter 3-like [Nelumbo nucifera]; Swissprot=Organic cation/carnitine transporter 3 OS=Arabidopsis thaliana GN=OCT3 PE=2 SV=1; KEGG=hypothetical protein; K08202 MFS transporter, OCT family, solute carrier family 22 (organic cation transporter), member 4/5 (A); IPRSCAN=NULL NULL NULL NULL IPR005828 General substrate transporter IPR020846 Major facilitator superfamily domain</t>
  </si>
  <si>
    <t>[translated] | NR=PREDICTED: vacuolar-processing enzyme-like [Musa acuminata subsp. malaccensis]; Swissprot=Vacuolar-processing enzyme OS=Citrus sinensis PE=2 SV=1; KEGG=VPE2, VPE1; vacoular processing enzyme 2; K01369 legumain [EC:3.4.22.34] (A)</t>
  </si>
  <si>
    <t>[translated] | NR=PREDICTED: pleiotropic drug resistance protein 12-like [Musa acuminata subsp. malaccensis]; Swissprot=ABC transporter G family member 29 OS=Arabidopsis thaliana GN=ABCG29 PE=2 SV=2</t>
  </si>
  <si>
    <t>[translated] | GO=Molecular Function: structural molecule activity (GO:0005198),Cellular Component: chloroplast (GO:0009507); NR=PREDICTED: probable plastid-lipid-associated protein 7, chloroplastic isoform X1 [Elaeis guineensis]; Swissprot=Probable plastid-lipid-associated protein 7, chloroplastic OS=Arabidopsis thaliana GN=PAP7 PE=2 SV=1; IPRSCAN=IPR006843 Plastid lipid-associated protein/fibrillin conserved domain</t>
  </si>
  <si>
    <t>[translated] | GO=Molecular Function: serine-type endopeptidase inhibitor activity (GO:0004867),Biological Process: response to wounding (GO:0009611); NR=Inhibitor of trypsin and hageman factor [Triticum urartu]; Swissprot=Inhibitor of trypsin and hageman factor OS=Cucurbita maxima PE=1 SV=1; IPRSCAN=IPR000864 Proteinase inhibitor I13, potato inhibitor I IPR000864 Proteinase inhibitor I13, potato inhibitor I</t>
  </si>
  <si>
    <t>[translated] | GO=Biological Process: protein folding (GO:0006457); NR=peptidyl-prolyl cis-trans isomerase [Hyacinthus orientalis]; Swissprot=Peptidyl-prolyl cis-trans isomerase FKBP62 OS=Arabidopsis thaliana GN=FKBP62 PE=1 SV=2; KEGG=peptidyl-prolyl cis-trans isomerase FKBP62; K09571 FK506-binding protein 4/5 [EC:5.2.1.8] (A); IPRSCAN=IPR001179 Peptidyl-prolyl cis-trans isomerase, FKBP-type, domain NULL NULL IPR023566 Peptidyl-prolyl cis-trans isomerase, FKBP-type IPR001179 Peptidyl-prolyl cis-trans isomerase, FKBP-type, domain</t>
  </si>
  <si>
    <t>[translated] | GO=Molecular Function: hydrolase activity, hydrolyzing O-glycosyl compounds (GO:0004553),Cellular Component: cell wall (GO:0005618),Biological Process: carbohydrate metabolic process (GO:0005975),Biological Process: cellular glucan metabolic process (GO:0006073),Molecular Function: xyloglucan:xyloglucosyl transferase activity (GO:0016762),Cellular Component: apoplast (GO:0048046); NR=PREDICTED: probable xyloglucan endotransglucosylase/hydrolase protein 33 [Musa acuminata subsp. malaccensis]; Swissprot=Probable xyloglucan endotransglucosylase/hydrolase protein 33 OS=Arabidopsis thaliana GN=XTH33 PE=2 SV=2; KEGG=probable xyloglucan endotransglucosylase/hydrolase protein 33; K08235 xyloglucan:xyloglucosyl transferase [EC:2.4.1.207] (A); IPRSCAN=IPR000757 Glycoside hydrolase, family 16 IPR010713 Xyloglucan endo-transglycosylase, C-terminal NULL NULL</t>
  </si>
  <si>
    <t>[translated] | NR=PREDICTED: cytochrome P450 CYP72A219-like [Musa acuminata subsp. malaccensis]; Swissprot=11-oxo-beta-amyrin 30-oxidase OS=Medicago truncatula GN=CYP72A63 PE=1 SV=1; KEGG=cytochrome P450 CYP72A219; K07426 cytochrome P450, family 4, subfamily B, polypeptide 1 [EC:1.14.14.1] (A)</t>
  </si>
  <si>
    <t>[translated] | NR=PREDICTED: cytochrome P450 704B1 [Erythranthe guttatus]; Swissprot=Cytochrome P450 704B1 OS=Arabidopsis thaliana GN=CYP704B1 PE=2 SV=1; KEGG=cytochrome P450 86B1; K15402 fatty acid omega-hydroxylase [EC:1.14.-.-] (A); IPRSCAN=NULL NULL</t>
  </si>
  <si>
    <t>[translated] | GO=Cellular Component: nucleosome (GO:0000786),Molecular Function: DNA binding (GO:0003677),Cellular Component: nucleus (GO:0005634),Biological Process: nucleosome assembly (GO:0006334); NR=Histone H2B [Medicago truncatula]; Swissprot=Histone H2B.6 OS=Arabidopsis thaliana GN=H2B PE=1 SV=3; KEGG=core histone H2A/H2B/H3/H4; K11252 histone H2B (A); IPRSCAN=IPR007125 Histone core IPR000558 Histone H2B IPR000558 Histone H2B IPR000558 Histone H2B IPR000558 Histone H2B IPR000558 Histone H2B IPR000558 Histone H2B IPR000558 Histone H2B</t>
  </si>
  <si>
    <t>[translated] | NR=PREDICTED: uncharacterized protein LOC105053271 [Elaeis guineensis]; Swissprot=Protein NDH-DEPENDENT CYCLIC ELECTRON FLOW 5 OS=Arabidopsis thaliana GN=NDF5 PE=2 SV=1</t>
  </si>
  <si>
    <t>[translated] | NR=PREDICTED: uncharacterized protein LOC103699457 isoform X1 [Phoenix dactylifera]</t>
  </si>
  <si>
    <t>[translated] | NR=hypothetical protein EUTSA_v10015094mg [Eutrema salsugineum]; Swissprot=Small ubiquitin-related modifier 2 OS=Arabidopsis thaliana GN=SUMO2 PE=1 SV=1; KEGG=hypothetical protein; K12160 small ubiquitin-related modifier (A); IPRSCAN=NULL NULL IPR019955 Ubiquitin supergroup IPR022617 Rad60/SUMO-like domain</t>
  </si>
  <si>
    <t>[translated] | NR=PREDICTED: uncharacterized protein LOC104748860 [Camelina sativa]; KEGG=glutathione S-transferase T3-like; K03083 glycogen synthase kinase 3 beta [EC:2.7.11.26] (A); IPRSCAN=NULL NULL</t>
  </si>
  <si>
    <t>[translated] | NR=PREDICTED: uncharacterized protein LOC103974726 [Musa acuminata subsp. malaccensis]; KEGG=uncharacterized LOC105047733; K19027 zinc finger FYVE domain-containing protein 26 (A)</t>
  </si>
  <si>
    <t>[translated] | GO=Molecular Function: triglyceride lipase activity (GO:0004806),Biological Process: lipid metabolic process (GO:0006629); NR=Phospholipase A1-IIgamma [Glycine soja]; Swissprot=Phospholipase A1-II 1 OS=Oryza sativa subsp. japonica GN=Os01g0651100 PE=3 SV=2; KEGG=DAD1; phospholipase A(1) DAD1; K16818 phospholipase A1 [EC:3.1.1.32] (A); IPRSCAN=NULL NULL IPR002921 Lipase, class 3</t>
  </si>
  <si>
    <t>[translated] | NR=PREDICTED: uncharacterized protein LOC105049295 [Elaeis guineensis]; Swissprot=Uncharacterized protein sll1770 OS=Synechocystis sp. (strain PCC 6803 / Kazusa) GN=sll1770 PE=3 SV=1; KEGG=uncharacterized LOC105049295; K08869 aarF domain-containing kinase (A); IPRSCAN=NULL NULL NULL NULL IPR004147 UbiB domain</t>
  </si>
  <si>
    <t>[translated] | GO=Molecular Function: dihydrolipoyl dehydrogenase activity (GO:0004148),Biological Process: cell redox homeostasis (GO:0045454),Molecular Function: flavin adenine dinucleotide binding (GO:0050660),Biological Process: oxidation-reduction process (GO:0055114); NR=PREDICTED: dihydrolipoyl dehydrogenase, mitochondrial-like [Musa acuminata subsp. malaccensis]; Swissprot=Leghemoglobin reductase OS=Vigna unguiculata GN=FLBR PE=1 SV=1; KEGG=dihydrolipoyl dehydrogenase, mitochondrial-like; K00382 dihydrolipoamide dehydrogenase [EC:1.8.1.4] (A); IPRSCAN=NULL NULL NULL NULL IPR006258 Dihydrolipoamide dehydrogenase NULL NULL IPR004099 Pyridine nucleotide-disulphide oxidoreductase, dimerisation domain</t>
  </si>
  <si>
    <t>[translated] | NR=PREDICTED: kinesin-related protein 11 [Phoenix dactylifera]; KEGG=kinesin-related protein 11; K11498 centromeric protein E (A)</t>
  </si>
  <si>
    <t>[translated] | GO=Molecular Function: iron ion binding (GO:0005506),Biological Process: fatty acid biosynthetic process (GO:0006633),Molecular Function: oxidoreductase activity (GO:0016491),Biological Process: oxidation-reduction process (GO:0055114); NR=PREDICTED: sphinganine C(4)-monooxygenase 1-like [Elaeis guineensis]; Swissprot=Sphinganine C(4)-monooxygenase 2 OS=Arabidopsis thaliana GN=SBH2 PE=1 SV=1; KEGG=sphinganine C(4)-monooxygenase 1-like; K04713 sphinganine C4-monooxygenase [EC:1.14.18.5] (A); IPRSCAN=NULL NULL NULL NULL IPR006694 Fatty acid hydroxylase</t>
  </si>
  <si>
    <t>[translated] | NR=PREDICTED: uncharacterized protein LOC105032265 [Elaeis guineensis]; KEGG=uncharacterized LOC105032265; K15032 mTERF domain-containing protein, mitochondrial (A); IPRSCAN=IPR003690 Mitochodrial transcription termination factor-related IPR003690 Mitochodrial transcription termination factor-related NULL NULL IPR003690 Mitochodrial transcription termination factor-related IPR003690 Mitochodrial transcription termination factor-related IPR003690 Mitochodrial transcription termination factor-related IPR003690 Mitochodrial transcription termination factor-related IPR003690 Mitochodrial transcription termination factor-related</t>
  </si>
  <si>
    <t>[translated] | GO=Molecular Function: sequence-specific DNA binding transcription factor activity (GO:0003700),Biological Process: regulation of transcription, DNA-dependent (GO:0006355); NR=CBF-like transcription factor [Elaeis oleifera]; Swissprot=Dehydration-responsive element-binding protein 1E OS=Oryza sativa subsp. japonica GN=DREB1E PE=2 SV=1; KEGG=dehydration-responsive element-binding protein 1A-like; K09286 EREBP-like factor (A); IPRSCAN=NULL NULL IPR001471 AP2/ERF domain IPR001471 AP2/ERF domain IPR001471 AP2/ERF domain IPR001471 AP2/ERF domain IPR001471 AP2/ERF domain</t>
  </si>
  <si>
    <t>[translated] | GO=Cellular Component: nucleosome (GO:0000786),Molecular Function: DNA binding (GO:0003677),Cellular Component: nucleus (GO:0005634),Biological Process: nucleosome assembly (GO:0006334); NR=PREDICTED: histone H2AX-like [Elaeis guineensis]; Swissprot=Histone H2AX OS=Picea abies PE=2 SV=1; KEGG=histone H2AX-like; K11251 histone H2A (A); IPRSCAN=IPR002119 Histone H2A IPR002119 Histone H2A IPR002119 Histone H2A IPR002119 Histone H2A IPR002119 Histone H2A IPR002119 Histone H2A NULL NULL NULL NULL IPR007125 Histone core</t>
  </si>
  <si>
    <t>[translated] | NR=PREDICTED: midasin [Setaria italica]; Swissprot=Midasin OS=Homo sapiens GN=MDN1 PE=1 SV=2; KEGG=midasin; K14572 midasin (A); IPRSCAN=NULL NULL NULL NULL</t>
  </si>
  <si>
    <t>[translated] | GO=Cellular Component: nucleosome (GO:0000786),Molecular Function: DNA binding (GO:0003677),Cellular Component: nucleus (GO:0005634),Biological Process: nucleosome assembly (GO:0006334); NR=GM13181 [Drosophila sechellia]; Swissprot=Histone H4 OS=Mastigamoeba balamuthi PE=3 SV=3; KEGG=histone H4-like; K11254 histone H4 (A); IPRSCAN=IPR001951 Histone H4 IPR001951 Histone H4 IPR001951 Histone H4 IPR001951 Histone H4 NULL NULL IPR001951 Histone H4 IPR007125 Histone core IPR001951 Histone H4</t>
  </si>
  <si>
    <t>[translated] | GO=Molecular Function: magnesium ion binding (GO:0000287); NR=ribulose-1,5-bisphosphate carboxylase/oxygenase large subunit (chloroplast) [Asparagus asparagoides]; Swissprot=Ribulose bisphosphate carboxylase large chain OS=Hyophorbe lagenicaulis GN=rbcL PE=3 SV=1; KEGG=rbcL, ElguCp048; ribulose bisophosphate carboxylase; K01601 ribulose-bisphosphate carboxylase large chain [EC:4.1.1.39] (A); IPRSCAN=NULL NULL NULL NULL IPR000685 Ribulose bisphosphate carboxylase, large subunit, C-terminal</t>
  </si>
  <si>
    <t>[translated] | NR=hypothetical protein ZEAMMB73_121993 [Zea mays]; Swissprot=Succinate dehydrogenase subunit 5, mitochondrial OS=Oryza sativa subsp. japonica GN=SDH5 PE=1 SV=1; IPRSCAN=IPR025397 Protein of unknown function DUF4370</t>
  </si>
  <si>
    <t>[translated] | GO=Molecular Function: iron ion binding (GO:0005506),Molecular Function: electron carrier activity (GO:0009055),Molecular Function: oxidoreductase activity, acting on paired donors, with incorporation or reduction of molecular oxygen (GO:0016705),Molecular Function: heme binding (GO:0020037),Biological Process: oxidation-reduction process (GO:0055114); NR=PREDICTED: cytochrome P450 81E8-like [Elaeis guineensis]; Swissprot=Isoflavone 2'-hydroxylase OS=Glycyrrhiza echinata GN=CYP81E1 PE=1 SV=2; KEGG=isoflavone 2'-hydroxylase-like; K00517 [EC:1.14.-.-] (A); IPRSCAN=IPR001128 Cytochrome P450 IPR002401 Cytochrome P450, E-class, group I IPR002401 Cytochrome P450, E-class, group I IPR002401 Cytochrome P450, E-class, group I IPR002401 Cytochrome P450, E-class, group I IPR002401 Cytochrome P450, E-class, group I IPR002401 Cytochrome P450, E-class, group I IPR002401 Cytochrome P450, E-class, group I IPR002401 Cytochrome P450, E-class, group I IPR001128 Cytochrome P450 IPR001128 Cytochrome P450 IPR001128 Cytochrome P450 IPR001128 Cytochrome P450 NULL NULL</t>
  </si>
  <si>
    <t>[translated] | NR=PREDICTED: cytochrome c-like [Nicotiana tomentosiformis]; Swissprot=Cytochrome c OS=Acer negundo PE=1 SV=1; KEGG=cytochrome c-like; K08738 cytochrome c (A)</t>
  </si>
  <si>
    <t>[translated] | NR=PREDICTED: E3 ubiquitin-protein ligase ORTHRUS 2-like [Jatropha curcas]; Swissprot=E3 ubiquitin-protein ligase ORTHRUS 2 OS=Arabidopsis thaliana GN=ORTH2 PE=1 SV=1; KEGG=E3 ubiquitin-protein ligase ORTHRUS 2-like; K10638 E3 ubiquitin-protein ligase UHRF1 [EC:2.3.2.27] (A)</t>
  </si>
  <si>
    <t>[translated] | NR=PREDICTED: UPF0503 protein At3g09070, chloroplastic-like [Musa acuminata subsp. malaccensis]; Swissprot=UPF0503 protein At3g09070, chloroplastic OS=Arabidopsis thaliana GN=At3g09070 PE=1 SV=1; IPRSCAN=NULL NULL NULL NULL IPR008004 Uncharacterised protein family UPF0503</t>
  </si>
  <si>
    <t>[translated] | NR=PREDICTED: abscisic acid receptor PYL8-like [Phoenix dactylifera]; Swissprot=Abscisic acid receptor PYL8 OS=Arabidopsis thaliana GN=PYL8 PE=1 SV=1; KEGG=abscisic acid receptor PYL8-like; K14496 abscisic acid receptor PYR/PYL family (A); IPRSCAN=NULL NULL NULL NULL</t>
  </si>
  <si>
    <t>[translated] | NR=PREDICTED: serine/threonine-protein kinase SMG1-like isoform X2 [Musa acuminata subsp. malaccensis]; KEGG=serine/threonine-protein kinase SMG1-like isoform X1; K08873 serine/threonine-protein kinase SMG1 [EC:2.7.11.1] (A)</t>
  </si>
  <si>
    <t>[translated] | NR=PREDICTED: protein PMR5 [Phoenix dactylifera]; Swissprot=Protein PMR5 OS=Arabidopsis thaliana GN=PMR5 PE=2 SV=1; KEGG=probable serine/threonine-protein kinase pats1; K04427 mitogen-activated protein kinase kinase kinase 7 [EC:2.7.11.25] (A); IPRSCAN=IPR026057 PC-Esterase IPR025846 PMR5 N-terminal domain NULL NULL</t>
  </si>
  <si>
    <t>[translated] | GO=Biological Process: proteolysis (GO:0006508),Molecular Function: cysteine-type peptidase activity (GO:0008234); NR=hypothetical protein CARUB_v10019256mg [Capsella rubella]; Swissprot=Cysteine proteinase COT44 (Fragment) OS=Brassica napus PE=2 SV=1; KEGG=hypothetical protein; K01371 cathepsin K [EC:3.4.22.38] (A); IPRSCAN=IPR000668 Peptidase C1A, papain C-terminal NULL NULL IPR013128 Peptidase C1A, papain NULL NULL</t>
  </si>
  <si>
    <t>[translated] | NR=PREDICTED: mediator of RNA polymerase II transcription subunit 14 [Nelumbo nucifera]; Swissprot=Mediator of RNA polymerase II transcription subunit 14 OS=Arabidopsis thaliana GN=MED14 PE=1 SV=1; KEGG=mediator of RNA polymerase II transcription subunit 14; K15156 mediator of RNA polymerase II transcription subunit 14 (A)</t>
  </si>
  <si>
    <t>[translated] | NR=PREDICTED: uncharacterized protein LOC103332272 [Prunus mume]</t>
  </si>
  <si>
    <t>[translated] | GO=Molecular Function: nucleotide binding (GO:0000166); NR=PREDICTED: GPN-loop GTPase 1 homolog [Phoenix dactylifera]; Swissprot=GPN-loop GTPase 1 OS=Dictyostelium discoideum GN=gpn1 PE=3 SV=1; KEGG=GPN-loop GTPase 1 homolog; K06883 uncharacterized protein (A); IPRSCAN=NULL NULL NULL NULL IPR004130 Uncharacterised protein family, ATP binding</t>
  </si>
  <si>
    <t>[translated] | NR=expressed protein [Arabidopsis thaliana]; Swissprot=Thymocyte nuclear protein 1 OS=Rattus norvegicus GN=Thyn1 PE=2 SV=1; KEGG=hypothetical protein; K09761 16S rRNA (uracil1498-N3)-methyltransferase [EC:2.1.1.193] (A); IPRSCAN=IPR002740 EVE domain NULL NULL NULL NULL</t>
  </si>
  <si>
    <t>[translated] | NR=PREDICTED: uncharacterized protein LOC105041207 [Elaeis guineensis]; IPRSCAN=NULL NULL NULL NULL IPR009606 Protein of unknown function DUF1218</t>
  </si>
  <si>
    <t>[translated] | GO=Molecular Function: hydrogen ion transmembrane transporter activity (GO:0015078),Biological Process: ATP synthesis coupled proton transport (GO:0015986),Cellular Component: proton-transporting ATP synthase complex, coupling factor F(o) (GO:0045263); NR=ATP synthase CF0 subunit I (chloroplast) [Allium cepa]; Swissprot=ATP synthase subunit b, chloroplastic OS=Acorus calamus GN=atpF PE=3 SV=1; KEGG=atpF, ElguCp012; ATP synthase CF0 subunit I; K02109 F-type H+-transporting ATPase subunit b (A); IPRSCAN=IPR002146 ATPase, F0 complex, subunit B/B', bacterial/chloroplast</t>
  </si>
  <si>
    <t>[translated] | GO=Molecular Function: motor activity (GO:0003774),Molecular Function: protein binding (GO:0005515),Molecular Function: ATP binding (GO:0005524),Cellular Component: myosin complex (GO:0016459); NR=PREDICTED: myosin-12 isoform X1 [Phoenix dactylifera]; Swissprot=Myosin-12 OS=Arabidopsis thaliana GN=XI-F PE=2 SV=1; KEGG=myosin-12; K10357 myosin V (A); IPRSCAN=IPR001609 Myosin head, motor domain IPR000048 IQ motif, EF-hand binding site IPR000048 IQ motif, EF-hand binding site IPR000048 IQ motif, EF-hand binding site IPR000048 IQ motif, EF-hand binding site IPR000048 IQ motif, EF-hand binding site IPR000048 IQ motif, EF-hand binding site IPR000048 IQ motif, EF-hand binding site IPR000048 IQ motif, EF-hand binding site IPR000048 IQ motif, EF-hand binding site IPR000048 IQ motif, EF-hand binding site IPR000048 IQ motif, EF-hand binding site IPR000048 IQ motif, EF-hand binding site IPR002710 Dilute IPR001609 Myosin head, motor domain IPR018444 Dil domain IPR000048 IQ motif, EF-hand binding site IPR000048 IQ motif, EF-hand binding site IPR000048 IQ motif, EF-hand binding site IPR000048 IQ motif, EF-hand binding site IPR000048 IQ motif, EF-hand binding site IPR004009 Myosin, N-terminal, SH3-like NULL NULL NULL NULL IPR001609 Myosin head, motor domain IPR001609 Myosin head, motor domain IPR001609 Myosin head, motor domain IPR001609 Myosin head, motor domain IPR001609 Myosin head, motor domain</t>
  </si>
  <si>
    <t>[translated] | GO=Molecular Function: glutamate 5-kinase activity (GO:0004349),Biological Process: proline biosynthetic process (GO:0006561),Biological Process: cellular amino acid biosynthetic process (GO:0008652); NR=delta1-pyrroline-5-carboxylate synthase 2 [Betula platyphylla]; Swissprot=Delta-1-pyrroline-5-carboxylate synthase OS=Oryza sativa subsp. japonica GN=P5CS PE=2 SV=2; KEGG=Os05g0455500, P5CS, P5C_SYNTHETASE; Similar to Delta-1-pyrroline-5-carboxylate synthetase.; K12657 delta-1-pyrroline-5-carboxylate synthetase [EC:2.7.2.11 1.2.1.41] (A); IPRSCAN=IPR001057 Glutamate/acetylglutamate kinase IPR001057 Glutamate/acetylglutamate kinase IPR001057 Glutamate/acetylglutamate kinase IPR001057 Glutamate/acetylglutamate kinase IPR001057 Glutamate/acetylglutamate kinase NULL NULL NULL NULL IPR001048 Aspartate/glutamate/uridylate kinase</t>
  </si>
  <si>
    <t>[translated] | GO=Molecular Function: hydrolase activity, hydrolyzing O-glycosyl compounds (GO:0004553),Biological Process: carbohydrate metabolic process (GO:0005975); NR=PREDICTED: beta-galactosidase 2-like [Phoenix dactylifera]; Swissprot=Beta-galactosidase 2 OS=Oryza sativa subsp. japonica GN=Os01g0580200 PE=2 SV=1; KEGG=beta-galactosidase; K12309 beta-galactosidase [EC:3.2.1.23] (A); IPRSCAN=NULL NULL IPR001944 Glycoside hydrolase, family 35 IPR001944 Glycoside hydrolase, family 35 IPR001944 Glycoside hydrolase, family 35</t>
  </si>
  <si>
    <t>[translated] | GO=Molecular Function: oxidoreductase activity (GO:0016491); NR=PREDICTED: LOW QUALITY PROTEIN: uncharacterized protein LOC103702788 [Phoenix dactylifera]; IPRSCAN=IPR000415 Nitroreductase-like</t>
  </si>
  <si>
    <t>[translated] | NR=PREDICTED: aspartate aminotransferase, cytoplasmic isozyme 1 isoform X2 [Tarenaya hassleriana]; Swissprot=Aspartate aminotransferase, cytoplasmic OS=Oryza sativa subsp. japonica GN=Os01g0760600 PE=2 SV=1; KEGG=POPTRDRAFT_819550; hypothetical protein; K14454 aspartate aminotransferase, cytoplasmic [EC:2.6.1.1] (A)</t>
  </si>
  <si>
    <t>[translated] | GO=Molecular Function: glucose-6-phosphate dehydrogenase activity (GO:0004345),Biological Process: glucose metabolic process (GO:0006006),Molecular Function: NADP binding (GO:0050661),Biological Process: oxidation-reduction process (GO:0055114); NR=PREDICTED: glucose-6-phosphate 1-dehydrogenase, chloroplastic [Fragaria vesca subsp. vesca]; Swissprot=Glucose-6-phosphate 1-dehydrogenase, chloroplastic OS=Solanum tuberosum PE=1 SV=1; KEGG=glucose-6-phosphate 1-dehydrogenase, chloroplastic; K00036 glucose-6-phosphate 1-dehydrogenase [EC:1.1.1.49 1.1.1.363] (A); IPRSCAN=IPR022675 Glucose-6-phosphate dehydrogenase, C-terminal IPR022675 Glucose-6-phosphate dehydrogenase, C-terminal IPR001282 Glucose-6-phosphate dehydrogenase</t>
  </si>
  <si>
    <t>[translated] | GO=Molecular Function: nucleic acid binding (GO:0003676); NR=PREDICTED: glycine-rich RNA-binding protein 2, mitochondrial-like [Nicotiana tomentosiformis]; Swissprot=Glycine-rich RNA-binding protein 4, mitochondrial OS=Arabidopsis thaliana GN=RBG4 PE=2 SV=1; KEGG=glycine-rich RNA-binding protein 3, mitochondrial-like; K12741 heterogeneous nuclear ribonucleoprotein A1/A3 (A); IPRSCAN=NULL NULL NULL NULL IPR000504 RNA recognition motif domain IPR000504 RNA recognition motif domain IPR000504 RNA recognition motif domain</t>
  </si>
  <si>
    <t>[translated] | GO=Molecular Function: nucleic acid binding (GO:0003676); NR=PREDICTED: splicing factor U2af large subunit B isoform X2 [Phoenix dactylifera]; Swissprot=Splicing factor U2af large subunit A OS=Arabidopsis thaliana GN=U2AF65A PE=2 SV=2; KEGG=splicing factor U2af large subunit B-like isoform X1; K12837 splicing factor U2AF 65 kDa subunit (A); IPRSCAN=IPR000504 RNA recognition motif domain NULL NULL IPR003954 RNA recognition motif domain, eukaryote IPR000504 RNA recognition motif domain IPR000504 RNA recognition motif domain IPR003954 RNA recognition motif domain, eukaryote NULL NULL NULL NULL IPR000504 RNA recognition motif domain IPR000504 RNA recognition motif domain</t>
  </si>
  <si>
    <t>[translated] | GO=Molecular Function: protein binding (GO:0005515); NR=hypothetical protein JCGZ_03040 [Jatropha curcas]; Swissprot=Histone-lysine N-methyltransferase ATXR4 OS=Arabidopsis thaliana GN=ATXR4 PE=2 SV=2; KEGG=histone-lysine N-methyltransferase ATXR4; K11426 SET and MYND domain-containing protein (A); IPRSCAN=IPR001214 SET domain NULL NULL NULL NULL</t>
  </si>
  <si>
    <t>[translated] | GO=Molecular Function: protein kinase activity (GO:0004672),Molecular Function: ATP binding (GO:0005524),Biological Process: protein phosphorylation (GO:0006468); NR=unknown [Zea mays]; Swissprot=LRR receptor-like serine/threonine-protein kinase ERL2 OS=Arabidopsis thaliana GN=ERL2 PE=2 SV=1; KEGG=proline-rich receptor-like protein kinase PERK4; K04730 interleukin-1 receptor-associated kinase 1 [EC:2.7.11.1] (A); IPRSCAN=NULL NULL NULL NULL IPR000719 Protein kinase domain IPR000719 Protein kinase domain</t>
  </si>
  <si>
    <t>[translated] | GO=Biological Process: carbohydrate metabolic process (GO:0005975),Molecular Function: isomerase activity (GO:0016853),Biological Process: hexose metabolic process (GO:0019318); NR=PREDICTED: aldose 1-epimerase-like isoform X1 [Elaeis guineensis]; Swissprot=Aldose 1-epimerase OS=Bos taurus GN=GALM PE=2 SV=1; KEGG=aldose 1-epimerase-like; K01785 aldose 1-epimerase [EC:5.1.3.3] (A); IPRSCAN=IPR008183 Aldose 1-/Glucose-6-phosphate 1-epimerase NULL NULL IPR015443 Aldose 1-epimerase</t>
  </si>
  <si>
    <t>[translated] | NR=unnamed protein product [Coffea canephora]; Swissprot=Replication protein A 70 kDa DNA-binding subunit B OS=Arabidopsis thaliana GN=RPA1B PE=3 SV=1; KEGG=replication protein A 70 kDa DNA-binding subunit B; K07466 replication factor A1 (A); IPRSCAN=NULL NULL IPR013955 Replication factor A, C-terminal</t>
  </si>
  <si>
    <t>[translated] | NR=PREDICTED: uncharacterized protein LOC100263889 [Vitis vinifera]</t>
  </si>
  <si>
    <t>[translated] | GO=Biological Process: glycerol ether metabolic process (GO:0006662),Molecular Function: electron carrier activity (GO:0009055),Molecular Function: protein disulfide oxidoreductase activity (GO:0015035),Biological Process: cell redox homeostasis (GO:0045454); NR=PREDICTED: protein disulfide-isomerase-like [Phoenix dactylifera]; Swissprot=Protein disulfide-isomerase OS=Ricinus communis PE=2 SV=1; KEGG=protein disulfide-isomerase-like; K09580 protein disulfide-isomerase A1 [EC:5.3.4.1] (A); IPRSCAN=IPR013766 Thioredoxin domain IPR013766 Thioredoxin domain NULL NULL IPR005746 Thioredoxin IPR005746 Thioredoxin IPR005746 Thioredoxin IPR012336 Thioredoxin-like fold IPR012336 Thioredoxin-like fold NULL NULL NULL NULL</t>
  </si>
  <si>
    <t>[translated] | GO=Molecular Function: DNA primase activity (GO:0003896),Biological Process: DNA replication (GO:0006260); NR=PREDICTED: DNA-directed primase/polymerase protein [Phoenix dactylifera]; Swissprot=DNA-directed primase/polymerase protein OS=Danio rerio GN=primpol PE=2 SV=2; IPRSCAN=IPR004340 DNA primase, UL52/UL70 type, Herpesviridae NULL NULL NULL NULL</t>
  </si>
  <si>
    <t>[translated] | GO=Molecular Function: DNA binding (GO:0003677); NR=PREDICTED: B3 domain-containing protein Os03g0120900-like [Elaeis guineensis]; Swissprot=B3 domain-containing protein Os03g0120900 OS=Oryza sativa subsp. japonica GN=Os03g0120900 PE=2 SV=1; KEGG=hypothetical protein; K09287 RAV-like factor (A); IPRSCAN=IPR003340 B3 DNA binding domain NULL NULL IPR003340 B3 DNA binding domain IPR003340 B3 DNA binding domain</t>
  </si>
  <si>
    <t>[translated] | GO=Biological Process: metabolic process (GO:0008152),Molecular Function: hydrolase activity (GO:0016787); NR=PREDICTED: IAA-amino acid hydrolase ILR1-like 3 isoform X1 [Elaeis guineensis]; Swissprot=IAA-amino acid hydrolase ILR1-like 7 OS=Oryza sativa subsp. japonica GN=ILL7 PE=2 SV=1; KEGG=IAA-amino acid hydrolase ILR1-like 3; K14664 IAA-amino acid hydrolase [EC:3.5.1.-] (A); IPRSCAN=IPR002933 Peptidase M20 NULL NULL NULL NULL</t>
  </si>
  <si>
    <t>[translated] | NR=PREDICTED: uncharacterized protein LOC105053847 [Elaeis guineensis]; Swissprot=Protein saal1 OS=Xenopus laevis GN=saal1 PE=2 SV=1</t>
  </si>
  <si>
    <t>[translated] | NR=hypothetical protein POPTR_0011s08360g [Populus trichocarpa]; KEGG=hypothetical protein; K07767 katanin p60 ATPase-containing subunit A1 [EC:3.6.4.3] (A); IPRSCAN=NULL NULL NULL NULL</t>
  </si>
  <si>
    <t>[translated] | GO=Biological Process: metabolic process (GO:0008152),Molecular Function: transferase activity, transferring hexosyl groups (GO:0016758); NR=PREDICTED: UDP-glycosyltransferase 86A2-like [Nelumbo nucifera]; Swissprot=UDP-glycosyltransferase 86A1 OS=Arabidopsis thaliana GN=UGT86A1 PE=2 SV=1; KEGG=UDP-glycosyltransferase 74E2-like; K13691 pathogen-inducible salicylic acid glucosyltransferase [EC:2.4.1.-] (A); IPRSCAN=IPR002213 UDP-glucuronosyl/UDP-glucosyltransferase NULL NULL IPR002213 UDP-glucuronosyl/UDP-glucosyltransferase</t>
  </si>
  <si>
    <t>[translated] | GO=Molecular Function: serine-type carboxypeptidase activity (GO:0004185),Biological Process: proteolysis (GO:0006508); NR=PREDICTED: serine carboxypeptidase-like [Musa acuminata subsp. malaccensis]; Swissprot=Serine carboxypeptidase 3 OS=Hordeum vulgare GN=CBP3 PE=1 SV=2; KEGG=serine carboxypeptidase-like; K16298 serine carboxypeptidase-like clade IV [EC:3.4.16.-] (A); IPRSCAN=IPR001563 Peptidase S10, serine carboxypeptidase IPR001563 Peptidase S10, serine carboxypeptidase IPR001563 Peptidase S10, serine carboxypeptidase IPR001563 Peptidase S10, serine carboxypeptidase IPR001563 Peptidase S10, serine carboxypeptidase IPR001563 Peptidase S10, serine carboxypeptidase</t>
  </si>
  <si>
    <t>[translated] | NR=PREDICTED: cell number regulator 6-like [Elaeis guineensis]</t>
  </si>
  <si>
    <t>[translated] | NR=HSP19.8, partial [Nicotiana tabacum]; Swissprot=17.8 kDa class I heat shock protein OS=Solanum lycopersicum PE=2 SV=1; KEGG=17.3 kDa class I heat shock protein-like; K13993 HSP20 family protein (A); IPRSCAN=IPR002068 Alpha crystallin/Hsp20 domain</t>
  </si>
  <si>
    <t>Garlic-1</t>
  </si>
  <si>
    <t>Garlic-2</t>
  </si>
  <si>
    <t>Garlic-3</t>
  </si>
  <si>
    <t>-</t>
  </si>
  <si>
    <t>AVERAGE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</si>
</sst>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theme="1"/>
      <name val="新細明體"/>
      <family val="2"/>
      <scheme val="minor"/>
    </font>
    <font>
      <sz val="9"/>
      <name val="新細明體"/>
      <family val="3"/>
      <charset val="136"/>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69"/>
  <sheetViews>
    <sheetView tabSelected="1" topLeftCell="B646" workbookViewId="0">
      <selection activeCell="M3" sqref="M3:M669"/>
    </sheetView>
  </sheetViews>
  <sheetFormatPr defaultRowHeight="15" x14ac:dyDescent="0.3"/>
  <cols>
    <col min="1" max="12" width="22" customWidth="1"/>
  </cols>
  <sheetData>
    <row r="1" spans="1:13" x14ac:dyDescent="0.3">
      <c r="A1" s="1" t="s">
        <v>0</v>
      </c>
      <c r="B1" s="1" t="s">
        <v>1</v>
      </c>
      <c r="C1" s="1" t="s">
        <v>2</v>
      </c>
      <c r="D1" s="2" t="s">
        <v>3</v>
      </c>
      <c r="E1" s="3"/>
      <c r="F1" s="4"/>
      <c r="G1" s="2" t="s">
        <v>4</v>
      </c>
      <c r="H1" s="3" t="s">
        <v>5</v>
      </c>
      <c r="I1" s="4" t="s">
        <v>6</v>
      </c>
      <c r="J1" s="2" t="s">
        <v>7</v>
      </c>
      <c r="K1" s="3" t="s">
        <v>8</v>
      </c>
      <c r="L1" s="4" t="s">
        <v>9</v>
      </c>
    </row>
    <row r="2" spans="1:13" x14ac:dyDescent="0.3">
      <c r="A2" t="s">
        <v>0</v>
      </c>
      <c r="B2" t="s">
        <v>1</v>
      </c>
      <c r="C2" t="s">
        <v>2</v>
      </c>
      <c r="D2" t="s">
        <v>1181</v>
      </c>
      <c r="E2" t="s">
        <v>1182</v>
      </c>
      <c r="F2" t="s">
        <v>1183</v>
      </c>
      <c r="G2" t="s">
        <v>1181</v>
      </c>
      <c r="H2" t="s">
        <v>1182</v>
      </c>
      <c r="I2" t="s">
        <v>1183</v>
      </c>
      <c r="J2" t="s">
        <v>1181</v>
      </c>
      <c r="K2" t="s">
        <v>1182</v>
      </c>
      <c r="L2" t="s">
        <v>1183</v>
      </c>
      <c r="M2" t="s">
        <v>1185</v>
      </c>
    </row>
    <row r="3" spans="1:13" x14ac:dyDescent="0.3">
      <c r="A3" t="s">
        <v>10</v>
      </c>
      <c r="B3" t="s">
        <v>677</v>
      </c>
      <c r="C3">
        <v>33.4</v>
      </c>
      <c r="D3">
        <v>6060947.8125</v>
      </c>
      <c r="E3">
        <v>6051521.375</v>
      </c>
      <c r="F3">
        <v>6784262.6875</v>
      </c>
      <c r="G3">
        <v>7</v>
      </c>
      <c r="H3">
        <v>6</v>
      </c>
      <c r="I3">
        <v>8</v>
      </c>
      <c r="J3">
        <v>7.5232126276694524</v>
      </c>
      <c r="K3">
        <v>5.9617670364500794</v>
      </c>
      <c r="L3">
        <v>7.5249257696515084</v>
      </c>
      <c r="M3">
        <f>AVERAGE(J3:L3)</f>
        <v>7.0033018112570131</v>
      </c>
    </row>
    <row r="4" spans="1:13" x14ac:dyDescent="0.3">
      <c r="A4" t="s">
        <v>11</v>
      </c>
      <c r="B4" t="s">
        <v>678</v>
      </c>
      <c r="C4">
        <v>51.7</v>
      </c>
      <c r="D4">
        <v>78997306.013671905</v>
      </c>
      <c r="E4">
        <v>86130427.25</v>
      </c>
      <c r="F4">
        <v>141502696.375</v>
      </c>
      <c r="G4">
        <v>36</v>
      </c>
      <c r="H4">
        <v>41</v>
      </c>
      <c r="I4">
        <v>47</v>
      </c>
      <c r="J4">
        <v>38.690807799442887</v>
      </c>
      <c r="K4">
        <v>40.738741415742197</v>
      </c>
      <c r="L4">
        <v>44.208938896702612</v>
      </c>
      <c r="M4">
        <f t="shared" ref="M4:M67" si="0">AVERAGE(J4:L4)</f>
        <v>41.212829370629237</v>
      </c>
    </row>
    <row r="5" spans="1:13" x14ac:dyDescent="0.3">
      <c r="A5" t="s">
        <v>12</v>
      </c>
      <c r="B5" t="s">
        <v>679</v>
      </c>
      <c r="C5">
        <v>13.9</v>
      </c>
      <c r="D5">
        <v>10298586.109375</v>
      </c>
      <c r="E5">
        <v>10080636.09375</v>
      </c>
      <c r="F5">
        <v>14300569.5625</v>
      </c>
      <c r="G5">
        <v>19</v>
      </c>
      <c r="H5">
        <v>18</v>
      </c>
      <c r="I5">
        <v>21</v>
      </c>
      <c r="J5">
        <v>20.420148560817079</v>
      </c>
      <c r="K5">
        <v>17.885301109350241</v>
      </c>
      <c r="L5">
        <v>19.75293014533521</v>
      </c>
      <c r="M5">
        <f t="shared" si="0"/>
        <v>19.352793271834177</v>
      </c>
    </row>
    <row r="6" spans="1:13" x14ac:dyDescent="0.3">
      <c r="A6" t="s">
        <v>13</v>
      </c>
      <c r="B6" t="s">
        <v>680</v>
      </c>
      <c r="C6">
        <v>30.7</v>
      </c>
      <c r="D6">
        <v>3271337.75</v>
      </c>
      <c r="E6">
        <v>0</v>
      </c>
      <c r="F6">
        <v>6847395.75</v>
      </c>
      <c r="G6">
        <v>3</v>
      </c>
      <c r="H6">
        <v>4</v>
      </c>
      <c r="I6">
        <v>5</v>
      </c>
      <c r="J6">
        <v>3.2242339832869078</v>
      </c>
      <c r="K6">
        <v>3.9745113576333861</v>
      </c>
      <c r="L6">
        <v>4.7030786060321921</v>
      </c>
      <c r="M6">
        <f t="shared" si="0"/>
        <v>3.9672746489841622</v>
      </c>
    </row>
    <row r="7" spans="1:13" x14ac:dyDescent="0.3">
      <c r="A7" t="s">
        <v>14</v>
      </c>
      <c r="B7" t="s">
        <v>681</v>
      </c>
      <c r="C7">
        <v>25.1</v>
      </c>
      <c r="D7">
        <v>34486736.25</v>
      </c>
      <c r="E7">
        <v>31161302.625</v>
      </c>
      <c r="F7">
        <v>34489192.75</v>
      </c>
      <c r="G7">
        <v>10</v>
      </c>
      <c r="H7">
        <v>10</v>
      </c>
      <c r="I7">
        <v>10</v>
      </c>
      <c r="J7">
        <v>10.747446610956359</v>
      </c>
      <c r="K7">
        <v>9.936278394083466</v>
      </c>
      <c r="L7">
        <v>9.4061572120643842</v>
      </c>
      <c r="M7">
        <f t="shared" si="0"/>
        <v>10.029960739034737</v>
      </c>
    </row>
    <row r="8" spans="1:13" x14ac:dyDescent="0.3">
      <c r="A8" t="s">
        <v>15</v>
      </c>
      <c r="B8" t="s">
        <v>681</v>
      </c>
      <c r="C8">
        <v>11.7</v>
      </c>
      <c r="D8">
        <v>6548235.25</v>
      </c>
      <c r="E8">
        <v>8060511.75</v>
      </c>
      <c r="F8">
        <v>7143120.375</v>
      </c>
      <c r="G8">
        <v>10</v>
      </c>
      <c r="H8">
        <v>10</v>
      </c>
      <c r="I8">
        <v>10</v>
      </c>
      <c r="J8">
        <v>10.747446610956359</v>
      </c>
      <c r="K8">
        <v>9.936278394083466</v>
      </c>
      <c r="L8">
        <v>9.4061572120643842</v>
      </c>
      <c r="M8">
        <f t="shared" si="0"/>
        <v>10.029960739034737</v>
      </c>
    </row>
    <row r="9" spans="1:13" x14ac:dyDescent="0.3">
      <c r="A9" t="s">
        <v>16</v>
      </c>
      <c r="B9" t="s">
        <v>682</v>
      </c>
      <c r="C9">
        <v>12.2</v>
      </c>
      <c r="D9">
        <v>8406040.875</v>
      </c>
      <c r="E9">
        <v>5020337.25</v>
      </c>
      <c r="F9">
        <v>5049164.875</v>
      </c>
      <c r="G9">
        <v>12</v>
      </c>
      <c r="H9">
        <v>12</v>
      </c>
      <c r="I9">
        <v>12</v>
      </c>
      <c r="J9">
        <v>12.896935933147629</v>
      </c>
      <c r="K9">
        <v>11.923534072900161</v>
      </c>
      <c r="L9">
        <v>11.28738865447726</v>
      </c>
      <c r="M9">
        <f t="shared" si="0"/>
        <v>12.035952886841685</v>
      </c>
    </row>
    <row r="10" spans="1:13" x14ac:dyDescent="0.3">
      <c r="A10" t="s">
        <v>17</v>
      </c>
      <c r="B10" t="s">
        <v>683</v>
      </c>
      <c r="C10">
        <v>11.7</v>
      </c>
      <c r="D10">
        <v>31759131.25</v>
      </c>
      <c r="E10">
        <v>25705167.5</v>
      </c>
      <c r="F10">
        <v>31512098.25</v>
      </c>
      <c r="G10">
        <v>6</v>
      </c>
      <c r="H10">
        <v>5</v>
      </c>
      <c r="I10">
        <v>6</v>
      </c>
      <c r="J10">
        <v>6.4484679665738156</v>
      </c>
      <c r="K10">
        <v>4.968139197041733</v>
      </c>
      <c r="L10">
        <v>5.6436943272386308</v>
      </c>
      <c r="M10">
        <f t="shared" si="0"/>
        <v>5.6867671636180601</v>
      </c>
    </row>
    <row r="11" spans="1:13" x14ac:dyDescent="0.3">
      <c r="A11" t="s">
        <v>18</v>
      </c>
      <c r="B11" t="s">
        <v>684</v>
      </c>
      <c r="C11">
        <v>29.5</v>
      </c>
      <c r="D11">
        <v>55794763.25</v>
      </c>
      <c r="E11">
        <v>55695318.0625</v>
      </c>
      <c r="F11">
        <v>73896844.25</v>
      </c>
      <c r="G11">
        <v>20</v>
      </c>
      <c r="H11">
        <v>22</v>
      </c>
      <c r="I11">
        <v>21</v>
      </c>
      <c r="J11">
        <v>21.494893221912719</v>
      </c>
      <c r="K11">
        <v>21.85981246698362</v>
      </c>
      <c r="L11">
        <v>19.75293014533521</v>
      </c>
      <c r="M11">
        <f t="shared" si="0"/>
        <v>21.035878611410514</v>
      </c>
    </row>
    <row r="12" spans="1:13" x14ac:dyDescent="0.3">
      <c r="A12" t="s">
        <v>19</v>
      </c>
      <c r="B12" t="s">
        <v>685</v>
      </c>
      <c r="C12">
        <v>28.9</v>
      </c>
      <c r="D12">
        <v>1855197</v>
      </c>
      <c r="E12">
        <v>1326687.25</v>
      </c>
      <c r="F12">
        <v>2303474</v>
      </c>
      <c r="G12">
        <v>24</v>
      </c>
      <c r="H12">
        <v>22</v>
      </c>
      <c r="I12">
        <v>23</v>
      </c>
      <c r="J12">
        <v>25.79387186629527</v>
      </c>
      <c r="K12">
        <v>21.85981246698362</v>
      </c>
      <c r="L12">
        <v>21.634161587748078</v>
      </c>
      <c r="M12">
        <f t="shared" si="0"/>
        <v>23.095948640342325</v>
      </c>
    </row>
    <row r="13" spans="1:13" x14ac:dyDescent="0.3">
      <c r="A13" t="s">
        <v>20</v>
      </c>
      <c r="B13" t="s">
        <v>686</v>
      </c>
      <c r="C13">
        <v>31</v>
      </c>
      <c r="D13">
        <v>23541242.167968798</v>
      </c>
      <c r="E13">
        <v>30132194.3125</v>
      </c>
      <c r="F13">
        <v>32031518.3125</v>
      </c>
      <c r="G13">
        <v>11</v>
      </c>
      <c r="H13">
        <v>17</v>
      </c>
      <c r="I13">
        <v>22</v>
      </c>
      <c r="J13">
        <v>11.822191272052001</v>
      </c>
      <c r="K13">
        <v>16.89167326994189</v>
      </c>
      <c r="L13">
        <v>20.693545866541651</v>
      </c>
      <c r="M13">
        <f t="shared" si="0"/>
        <v>16.469136802845181</v>
      </c>
    </row>
    <row r="14" spans="1:13" x14ac:dyDescent="0.3">
      <c r="A14" t="s">
        <v>21</v>
      </c>
      <c r="B14" t="s">
        <v>685</v>
      </c>
      <c r="C14">
        <v>46.5</v>
      </c>
      <c r="D14">
        <v>1826037.125</v>
      </c>
      <c r="E14">
        <v>0</v>
      </c>
      <c r="F14">
        <v>0</v>
      </c>
      <c r="G14">
        <v>2</v>
      </c>
      <c r="J14">
        <v>2.1494893221912719</v>
      </c>
      <c r="K14" t="s">
        <v>1184</v>
      </c>
      <c r="L14" t="s">
        <v>1184</v>
      </c>
      <c r="M14">
        <f t="shared" si="0"/>
        <v>2.1494893221912719</v>
      </c>
    </row>
    <row r="15" spans="1:13" x14ac:dyDescent="0.3">
      <c r="A15" t="s">
        <v>22</v>
      </c>
      <c r="B15" t="s">
        <v>687</v>
      </c>
      <c r="C15">
        <v>19</v>
      </c>
      <c r="D15">
        <v>2993331.75</v>
      </c>
      <c r="E15">
        <v>2985005</v>
      </c>
      <c r="F15">
        <v>2338966.0625</v>
      </c>
      <c r="G15">
        <v>3</v>
      </c>
      <c r="H15">
        <v>4</v>
      </c>
      <c r="I15">
        <v>4</v>
      </c>
      <c r="J15">
        <v>3.2242339832869078</v>
      </c>
      <c r="K15">
        <v>3.9745113576333861</v>
      </c>
      <c r="L15">
        <v>3.7624628848257542</v>
      </c>
      <c r="M15">
        <f t="shared" si="0"/>
        <v>3.6537360752486827</v>
      </c>
    </row>
    <row r="16" spans="1:13" x14ac:dyDescent="0.3">
      <c r="A16" t="s">
        <v>23</v>
      </c>
      <c r="B16" t="s">
        <v>688</v>
      </c>
      <c r="C16">
        <v>25.7</v>
      </c>
      <c r="D16">
        <v>5186452.125</v>
      </c>
      <c r="E16">
        <v>8050947.875</v>
      </c>
      <c r="F16">
        <v>7821064.3125</v>
      </c>
      <c r="G16">
        <v>15</v>
      </c>
      <c r="H16">
        <v>13</v>
      </c>
      <c r="I16">
        <v>13</v>
      </c>
      <c r="J16">
        <v>16.121169916434539</v>
      </c>
      <c r="K16">
        <v>12.917161912308501</v>
      </c>
      <c r="L16">
        <v>12.2280043756837</v>
      </c>
      <c r="M16">
        <f t="shared" si="0"/>
        <v>13.755445401475578</v>
      </c>
    </row>
    <row r="17" spans="1:13" x14ac:dyDescent="0.3">
      <c r="A17" t="s">
        <v>24</v>
      </c>
      <c r="B17" t="s">
        <v>689</v>
      </c>
      <c r="C17">
        <v>29.4</v>
      </c>
      <c r="D17">
        <v>3259657.578125</v>
      </c>
      <c r="E17">
        <v>3908487.5</v>
      </c>
      <c r="F17">
        <v>5885784.3125</v>
      </c>
      <c r="G17">
        <v>5</v>
      </c>
      <c r="H17">
        <v>7</v>
      </c>
      <c r="I17">
        <v>8</v>
      </c>
      <c r="J17">
        <v>5.3737233054781806</v>
      </c>
      <c r="K17">
        <v>6.9553948758584259</v>
      </c>
      <c r="L17">
        <v>7.5249257696515084</v>
      </c>
      <c r="M17">
        <f t="shared" si="0"/>
        <v>6.6180146503293713</v>
      </c>
    </row>
    <row r="18" spans="1:13" x14ac:dyDescent="0.3">
      <c r="A18" t="s">
        <v>25</v>
      </c>
      <c r="B18" t="s">
        <v>685</v>
      </c>
      <c r="C18">
        <v>26.8</v>
      </c>
      <c r="D18">
        <v>3301997.75</v>
      </c>
      <c r="E18">
        <v>5307421.546875</v>
      </c>
      <c r="F18">
        <v>6180395.03125</v>
      </c>
      <c r="G18">
        <v>8</v>
      </c>
      <c r="H18">
        <v>13</v>
      </c>
      <c r="I18">
        <v>13</v>
      </c>
      <c r="J18">
        <v>8.5979572887650875</v>
      </c>
      <c r="K18">
        <v>12.917161912308501</v>
      </c>
      <c r="L18">
        <v>12.2280043756837</v>
      </c>
      <c r="M18">
        <f t="shared" si="0"/>
        <v>11.247707858919094</v>
      </c>
    </row>
    <row r="19" spans="1:13" x14ac:dyDescent="0.3">
      <c r="A19" t="s">
        <v>26</v>
      </c>
      <c r="B19" t="s">
        <v>690</v>
      </c>
      <c r="C19">
        <v>19.600000000000001</v>
      </c>
      <c r="D19">
        <v>2018237.875</v>
      </c>
      <c r="E19">
        <v>3020357</v>
      </c>
      <c r="F19">
        <v>3170662</v>
      </c>
      <c r="G19">
        <v>4</v>
      </c>
      <c r="H19">
        <v>4</v>
      </c>
      <c r="I19">
        <v>4</v>
      </c>
      <c r="J19">
        <v>4.2989786443825437</v>
      </c>
      <c r="K19">
        <v>3.9745113576333861</v>
      </c>
      <c r="L19">
        <v>3.7624628848257542</v>
      </c>
      <c r="M19">
        <f t="shared" si="0"/>
        <v>4.0119842956138951</v>
      </c>
    </row>
    <row r="20" spans="1:13" x14ac:dyDescent="0.3">
      <c r="A20" t="s">
        <v>27</v>
      </c>
      <c r="B20" t="s">
        <v>685</v>
      </c>
      <c r="C20">
        <v>11.9</v>
      </c>
      <c r="D20">
        <v>12766388.375</v>
      </c>
      <c r="E20">
        <v>12709375.25</v>
      </c>
      <c r="F20">
        <v>17273661.625</v>
      </c>
      <c r="G20">
        <v>10</v>
      </c>
      <c r="H20">
        <v>8</v>
      </c>
      <c r="I20">
        <v>9</v>
      </c>
      <c r="J20">
        <v>10.747446610956359</v>
      </c>
      <c r="K20">
        <v>7.9490227152667723</v>
      </c>
      <c r="L20">
        <v>8.4655414908579463</v>
      </c>
      <c r="M20">
        <f t="shared" si="0"/>
        <v>9.0540036056936923</v>
      </c>
    </row>
    <row r="21" spans="1:13" x14ac:dyDescent="0.3">
      <c r="A21" t="s">
        <v>28</v>
      </c>
      <c r="B21" t="s">
        <v>691</v>
      </c>
      <c r="C21">
        <v>31.8</v>
      </c>
      <c r="D21">
        <v>2377687.0625</v>
      </c>
      <c r="E21">
        <v>3326097.21875</v>
      </c>
      <c r="F21">
        <v>6068106.4375</v>
      </c>
      <c r="G21">
        <v>6</v>
      </c>
      <c r="H21">
        <v>6</v>
      </c>
      <c r="I21">
        <v>9</v>
      </c>
      <c r="J21">
        <v>6.4484679665738156</v>
      </c>
      <c r="K21">
        <v>5.9617670364500794</v>
      </c>
      <c r="L21">
        <v>8.4655414908579463</v>
      </c>
      <c r="M21">
        <f t="shared" si="0"/>
        <v>6.958592164627281</v>
      </c>
    </row>
    <row r="22" spans="1:13" x14ac:dyDescent="0.3">
      <c r="A22" t="s">
        <v>29</v>
      </c>
      <c r="B22" t="s">
        <v>692</v>
      </c>
      <c r="C22">
        <v>23.8</v>
      </c>
      <c r="D22">
        <v>682484</v>
      </c>
      <c r="E22">
        <v>902322.1875</v>
      </c>
      <c r="F22">
        <v>362332.65625</v>
      </c>
      <c r="G22">
        <v>8</v>
      </c>
      <c r="H22">
        <v>11</v>
      </c>
      <c r="I22">
        <v>9</v>
      </c>
      <c r="J22">
        <v>8.5979572887650875</v>
      </c>
      <c r="K22">
        <v>10.92990623349181</v>
      </c>
      <c r="L22">
        <v>8.4655414908579463</v>
      </c>
      <c r="M22">
        <f t="shared" si="0"/>
        <v>9.3311350043716157</v>
      </c>
    </row>
    <row r="23" spans="1:13" x14ac:dyDescent="0.3">
      <c r="A23" t="s">
        <v>30</v>
      </c>
      <c r="B23" t="s">
        <v>693</v>
      </c>
      <c r="C23">
        <v>48.7</v>
      </c>
      <c r="D23">
        <v>643102.5625</v>
      </c>
      <c r="E23">
        <v>0</v>
      </c>
      <c r="F23">
        <v>1006095.8125</v>
      </c>
      <c r="G23">
        <v>3</v>
      </c>
      <c r="I23">
        <v>3</v>
      </c>
      <c r="J23">
        <v>3.2242339832869078</v>
      </c>
      <c r="K23" t="s">
        <v>1184</v>
      </c>
      <c r="L23">
        <v>2.821847163619315</v>
      </c>
      <c r="M23">
        <f t="shared" si="0"/>
        <v>3.0230405734531116</v>
      </c>
    </row>
    <row r="24" spans="1:13" x14ac:dyDescent="0.3">
      <c r="A24" t="s">
        <v>31</v>
      </c>
      <c r="B24" t="s">
        <v>694</v>
      </c>
      <c r="C24">
        <v>36.6</v>
      </c>
      <c r="D24">
        <v>1620321.1875</v>
      </c>
      <c r="E24">
        <v>1175058.25</v>
      </c>
      <c r="F24">
        <v>2410193.375</v>
      </c>
      <c r="G24">
        <v>6</v>
      </c>
      <c r="H24">
        <v>4</v>
      </c>
      <c r="I24">
        <v>5</v>
      </c>
      <c r="J24">
        <v>6.4484679665738156</v>
      </c>
      <c r="K24">
        <v>3.9745113576333861</v>
      </c>
      <c r="L24">
        <v>4.7030786060321921</v>
      </c>
      <c r="M24">
        <f t="shared" si="0"/>
        <v>5.0420193100797981</v>
      </c>
    </row>
    <row r="25" spans="1:13" x14ac:dyDescent="0.3">
      <c r="A25" t="s">
        <v>32</v>
      </c>
      <c r="B25" t="s">
        <v>695</v>
      </c>
      <c r="C25">
        <v>28.6</v>
      </c>
      <c r="D25">
        <v>3402031.375</v>
      </c>
      <c r="E25">
        <v>907393</v>
      </c>
      <c r="F25">
        <v>3082860.375</v>
      </c>
      <c r="G25">
        <v>19</v>
      </c>
      <c r="H25">
        <v>17</v>
      </c>
      <c r="I25">
        <v>17</v>
      </c>
      <c r="J25">
        <v>20.420148560817079</v>
      </c>
      <c r="K25">
        <v>16.89167326994189</v>
      </c>
      <c r="L25">
        <v>15.990467260509449</v>
      </c>
      <c r="M25">
        <f t="shared" si="0"/>
        <v>17.767429697089472</v>
      </c>
    </row>
    <row r="26" spans="1:13" x14ac:dyDescent="0.3">
      <c r="A26" t="s">
        <v>33</v>
      </c>
      <c r="B26" t="s">
        <v>696</v>
      </c>
      <c r="C26">
        <v>44.9</v>
      </c>
      <c r="D26">
        <v>2649919.40625</v>
      </c>
      <c r="E26">
        <v>2124968.125</v>
      </c>
      <c r="F26">
        <v>2491891.75</v>
      </c>
      <c r="G26">
        <v>4</v>
      </c>
      <c r="H26">
        <v>4</v>
      </c>
      <c r="I26">
        <v>4</v>
      </c>
      <c r="J26">
        <v>4.2989786443825437</v>
      </c>
      <c r="K26">
        <v>3.9745113576333861</v>
      </c>
      <c r="L26">
        <v>3.7624628848257542</v>
      </c>
      <c r="M26">
        <f t="shared" si="0"/>
        <v>4.0119842956138951</v>
      </c>
    </row>
    <row r="27" spans="1:13" x14ac:dyDescent="0.3">
      <c r="A27" t="s">
        <v>34</v>
      </c>
      <c r="B27" t="s">
        <v>697</v>
      </c>
      <c r="C27">
        <v>29.5</v>
      </c>
      <c r="D27">
        <v>7031891.25</v>
      </c>
      <c r="E27">
        <v>9401129.75</v>
      </c>
      <c r="F27">
        <v>8153251.75</v>
      </c>
      <c r="G27">
        <v>7</v>
      </c>
      <c r="H27">
        <v>6</v>
      </c>
      <c r="I27">
        <v>7</v>
      </c>
      <c r="J27">
        <v>7.5232126276694524</v>
      </c>
      <c r="K27">
        <v>5.9617670364500794</v>
      </c>
      <c r="L27">
        <v>6.5843100484450696</v>
      </c>
      <c r="M27">
        <f t="shared" si="0"/>
        <v>6.6897632375215332</v>
      </c>
    </row>
    <row r="28" spans="1:13" x14ac:dyDescent="0.3">
      <c r="A28" t="s">
        <v>35</v>
      </c>
      <c r="B28" t="s">
        <v>698</v>
      </c>
      <c r="C28">
        <v>18.100000000000001</v>
      </c>
      <c r="D28">
        <v>1370361.6875</v>
      </c>
      <c r="E28">
        <v>2085031.1875</v>
      </c>
      <c r="F28">
        <v>1338609.875</v>
      </c>
      <c r="G28">
        <v>3</v>
      </c>
      <c r="H28">
        <v>4</v>
      </c>
      <c r="I28">
        <v>3</v>
      </c>
      <c r="J28">
        <v>3.2242339832869078</v>
      </c>
      <c r="K28">
        <v>3.9745113576333861</v>
      </c>
      <c r="L28">
        <v>2.821847163619315</v>
      </c>
      <c r="M28">
        <f t="shared" si="0"/>
        <v>3.3401975015132028</v>
      </c>
    </row>
    <row r="29" spans="1:13" x14ac:dyDescent="0.3">
      <c r="A29" t="s">
        <v>36</v>
      </c>
      <c r="B29" t="s">
        <v>699</v>
      </c>
      <c r="C29">
        <v>40.6</v>
      </c>
      <c r="D29">
        <v>5173378.875</v>
      </c>
      <c r="E29">
        <v>6087979.25</v>
      </c>
      <c r="F29">
        <v>6737461.875</v>
      </c>
      <c r="G29">
        <v>12</v>
      </c>
      <c r="H29">
        <v>11</v>
      </c>
      <c r="I29">
        <v>13</v>
      </c>
      <c r="J29">
        <v>12.896935933147629</v>
      </c>
      <c r="K29">
        <v>10.92990623349181</v>
      </c>
      <c r="L29">
        <v>12.2280043756837</v>
      </c>
      <c r="M29">
        <f t="shared" si="0"/>
        <v>12.018282180774378</v>
      </c>
    </row>
    <row r="30" spans="1:13" x14ac:dyDescent="0.3">
      <c r="A30" t="s">
        <v>37</v>
      </c>
      <c r="B30" t="s">
        <v>700</v>
      </c>
      <c r="C30">
        <v>24</v>
      </c>
      <c r="D30">
        <v>4922077.375</v>
      </c>
      <c r="E30">
        <v>1959903.25</v>
      </c>
      <c r="F30">
        <v>7004527.8125</v>
      </c>
      <c r="G30">
        <v>7</v>
      </c>
      <c r="H30">
        <v>6</v>
      </c>
      <c r="I30">
        <v>6</v>
      </c>
      <c r="J30">
        <v>7.5232126276694524</v>
      </c>
      <c r="K30">
        <v>5.9617670364500794</v>
      </c>
      <c r="L30">
        <v>5.6436943272386308</v>
      </c>
      <c r="M30">
        <f t="shared" si="0"/>
        <v>6.3762246637860542</v>
      </c>
    </row>
    <row r="31" spans="1:13" x14ac:dyDescent="0.3">
      <c r="A31" t="s">
        <v>38</v>
      </c>
      <c r="B31" t="s">
        <v>701</v>
      </c>
      <c r="C31">
        <v>53.6</v>
      </c>
      <c r="D31">
        <v>15399542.625</v>
      </c>
      <c r="E31">
        <v>19002648</v>
      </c>
      <c r="F31">
        <v>17347035.9375</v>
      </c>
      <c r="G31">
        <v>11</v>
      </c>
      <c r="H31">
        <v>14</v>
      </c>
      <c r="I31">
        <v>13</v>
      </c>
      <c r="J31">
        <v>11.822191272052001</v>
      </c>
      <c r="K31">
        <v>13.91078975171685</v>
      </c>
      <c r="L31">
        <v>12.2280043756837</v>
      </c>
      <c r="M31">
        <f t="shared" si="0"/>
        <v>12.653661799817518</v>
      </c>
    </row>
    <row r="32" spans="1:13" x14ac:dyDescent="0.3">
      <c r="A32" t="s">
        <v>39</v>
      </c>
      <c r="B32" t="s">
        <v>685</v>
      </c>
      <c r="C32">
        <v>65.7</v>
      </c>
      <c r="D32">
        <v>128002986.15625</v>
      </c>
      <c r="E32">
        <v>144883007.28125</v>
      </c>
      <c r="F32">
        <v>197792968.65625</v>
      </c>
      <c r="G32">
        <v>69</v>
      </c>
      <c r="H32">
        <v>64</v>
      </c>
      <c r="I32">
        <v>73</v>
      </c>
      <c r="J32">
        <v>74.157381615598879</v>
      </c>
      <c r="K32">
        <v>63.592181722134178</v>
      </c>
      <c r="L32">
        <v>68.664947648070012</v>
      </c>
      <c r="M32">
        <f t="shared" si="0"/>
        <v>68.804836995267692</v>
      </c>
    </row>
    <row r="33" spans="1:13" x14ac:dyDescent="0.3">
      <c r="A33" t="s">
        <v>40</v>
      </c>
      <c r="B33" t="s">
        <v>685</v>
      </c>
      <c r="C33">
        <v>81.2</v>
      </c>
      <c r="D33">
        <v>1046809.375</v>
      </c>
      <c r="E33">
        <v>1040443.40625</v>
      </c>
      <c r="F33">
        <v>37064545.625</v>
      </c>
      <c r="G33">
        <v>20</v>
      </c>
      <c r="H33">
        <v>21</v>
      </c>
      <c r="I33">
        <v>25</v>
      </c>
      <c r="J33">
        <v>21.494893221912719</v>
      </c>
      <c r="K33">
        <v>20.866184627575279</v>
      </c>
      <c r="L33">
        <v>23.515393030160961</v>
      </c>
      <c r="M33">
        <f t="shared" si="0"/>
        <v>21.958823626549655</v>
      </c>
    </row>
    <row r="34" spans="1:13" x14ac:dyDescent="0.3">
      <c r="A34" t="s">
        <v>41</v>
      </c>
      <c r="B34" t="s">
        <v>702</v>
      </c>
      <c r="C34">
        <v>50</v>
      </c>
      <c r="D34">
        <v>373994.9375</v>
      </c>
      <c r="E34">
        <v>822313.75</v>
      </c>
      <c r="F34">
        <v>930683.75</v>
      </c>
      <c r="G34">
        <v>7</v>
      </c>
      <c r="H34">
        <v>12</v>
      </c>
      <c r="I34">
        <v>11</v>
      </c>
      <c r="J34">
        <v>7.5232126276694524</v>
      </c>
      <c r="K34">
        <v>11.923534072900161</v>
      </c>
      <c r="L34">
        <v>10.34677293327082</v>
      </c>
      <c r="M34">
        <f t="shared" si="0"/>
        <v>9.9311732112801447</v>
      </c>
    </row>
    <row r="35" spans="1:13" x14ac:dyDescent="0.3">
      <c r="A35" t="s">
        <v>42</v>
      </c>
      <c r="B35" t="s">
        <v>703</v>
      </c>
      <c r="C35">
        <v>110.4</v>
      </c>
      <c r="D35">
        <v>8081631.75</v>
      </c>
      <c r="E35">
        <v>4676252.5</v>
      </c>
      <c r="F35">
        <v>9112562.9375</v>
      </c>
      <c r="G35">
        <v>27</v>
      </c>
      <c r="H35">
        <v>29</v>
      </c>
      <c r="I35">
        <v>20</v>
      </c>
      <c r="J35">
        <v>29.01810584958217</v>
      </c>
      <c r="K35">
        <v>28.815207342842051</v>
      </c>
      <c r="L35">
        <v>18.812314424128768</v>
      </c>
      <c r="M35">
        <f t="shared" si="0"/>
        <v>25.548542538850995</v>
      </c>
    </row>
    <row r="36" spans="1:13" x14ac:dyDescent="0.3">
      <c r="A36" t="s">
        <v>43</v>
      </c>
      <c r="B36" t="s">
        <v>685</v>
      </c>
      <c r="C36">
        <v>96.6</v>
      </c>
      <c r="D36">
        <v>2206134.4394531301</v>
      </c>
      <c r="E36">
        <v>639947.4375</v>
      </c>
      <c r="F36">
        <v>411788.5625</v>
      </c>
      <c r="G36">
        <v>5</v>
      </c>
      <c r="H36">
        <v>2</v>
      </c>
      <c r="I36">
        <v>5</v>
      </c>
      <c r="J36">
        <v>5.3737233054781806</v>
      </c>
      <c r="K36">
        <v>1.9872556788166931</v>
      </c>
      <c r="L36">
        <v>4.7030786060321921</v>
      </c>
      <c r="M36">
        <f t="shared" si="0"/>
        <v>4.0213525301090218</v>
      </c>
    </row>
    <row r="37" spans="1:13" x14ac:dyDescent="0.3">
      <c r="A37" t="s">
        <v>44</v>
      </c>
      <c r="B37" t="s">
        <v>704</v>
      </c>
      <c r="C37">
        <v>19.8</v>
      </c>
      <c r="D37">
        <v>6352515.9375</v>
      </c>
      <c r="E37">
        <v>6888335.5625</v>
      </c>
      <c r="F37">
        <v>8942378.375</v>
      </c>
      <c r="G37">
        <v>7</v>
      </c>
      <c r="H37">
        <v>8</v>
      </c>
      <c r="I37">
        <v>8</v>
      </c>
      <c r="J37">
        <v>7.5232126276694524</v>
      </c>
      <c r="K37">
        <v>7.9490227152667723</v>
      </c>
      <c r="L37">
        <v>7.5249257696515084</v>
      </c>
      <c r="M37">
        <f t="shared" si="0"/>
        <v>7.6657203708625774</v>
      </c>
    </row>
    <row r="38" spans="1:13" x14ac:dyDescent="0.3">
      <c r="A38" t="s">
        <v>45</v>
      </c>
      <c r="B38" t="s">
        <v>705</v>
      </c>
      <c r="C38">
        <v>23.8</v>
      </c>
      <c r="D38">
        <v>7797094.5</v>
      </c>
      <c r="E38">
        <v>6372304.5</v>
      </c>
      <c r="F38">
        <v>8154518.5</v>
      </c>
      <c r="G38">
        <v>19</v>
      </c>
      <c r="H38">
        <v>21</v>
      </c>
      <c r="I38">
        <v>21</v>
      </c>
      <c r="J38">
        <v>20.420148560817079</v>
      </c>
      <c r="K38">
        <v>20.866184627575279</v>
      </c>
      <c r="L38">
        <v>19.75293014533521</v>
      </c>
      <c r="M38">
        <f t="shared" si="0"/>
        <v>20.346421111242524</v>
      </c>
    </row>
    <row r="39" spans="1:13" x14ac:dyDescent="0.3">
      <c r="A39" t="s">
        <v>46</v>
      </c>
      <c r="B39" t="s">
        <v>706</v>
      </c>
      <c r="C39">
        <v>26.1</v>
      </c>
      <c r="D39">
        <v>47036607.5</v>
      </c>
      <c r="E39">
        <v>59750485.96875</v>
      </c>
      <c r="F39">
        <v>62220661.21875</v>
      </c>
      <c r="G39">
        <v>26</v>
      </c>
      <c r="H39">
        <v>27</v>
      </c>
      <c r="I39">
        <v>27</v>
      </c>
      <c r="J39">
        <v>27.943361188486531</v>
      </c>
      <c r="K39">
        <v>26.827951664025349</v>
      </c>
      <c r="L39">
        <v>25.396624472573841</v>
      </c>
      <c r="M39">
        <f t="shared" si="0"/>
        <v>26.722645775028571</v>
      </c>
    </row>
    <row r="40" spans="1:13" x14ac:dyDescent="0.3">
      <c r="A40" t="s">
        <v>47</v>
      </c>
      <c r="B40" t="s">
        <v>707</v>
      </c>
      <c r="C40">
        <v>29.9</v>
      </c>
      <c r="D40">
        <v>8186526.75</v>
      </c>
      <c r="E40">
        <v>11267014</v>
      </c>
      <c r="F40">
        <v>12358653</v>
      </c>
      <c r="G40">
        <v>32</v>
      </c>
      <c r="H40">
        <v>32</v>
      </c>
      <c r="I40">
        <v>34</v>
      </c>
      <c r="J40">
        <v>34.39182915506035</v>
      </c>
      <c r="K40">
        <v>31.796090861067089</v>
      </c>
      <c r="L40">
        <v>31.980934521018909</v>
      </c>
      <c r="M40">
        <f t="shared" si="0"/>
        <v>32.722951512382117</v>
      </c>
    </row>
    <row r="41" spans="1:13" x14ac:dyDescent="0.3">
      <c r="A41" t="s">
        <v>48</v>
      </c>
      <c r="B41" t="s">
        <v>708</v>
      </c>
      <c r="C41">
        <v>56.2</v>
      </c>
      <c r="D41">
        <v>1378274.625</v>
      </c>
      <c r="E41">
        <v>1125561.25</v>
      </c>
      <c r="F41">
        <v>2347944.5</v>
      </c>
      <c r="G41">
        <v>46</v>
      </c>
      <c r="H41">
        <v>43</v>
      </c>
      <c r="I41">
        <v>46</v>
      </c>
      <c r="J41">
        <v>49.438254410399253</v>
      </c>
      <c r="K41">
        <v>42.725997094558899</v>
      </c>
      <c r="L41">
        <v>43.268323175496157</v>
      </c>
      <c r="M41">
        <f t="shared" si="0"/>
        <v>45.144191560151434</v>
      </c>
    </row>
    <row r="42" spans="1:13" x14ac:dyDescent="0.3">
      <c r="A42" t="s">
        <v>49</v>
      </c>
      <c r="B42" t="s">
        <v>709</v>
      </c>
      <c r="C42">
        <v>56.2</v>
      </c>
      <c r="D42">
        <v>2568065</v>
      </c>
      <c r="E42">
        <v>2645736.75</v>
      </c>
      <c r="F42">
        <v>3769801.25</v>
      </c>
      <c r="G42">
        <v>47</v>
      </c>
      <c r="H42">
        <v>44</v>
      </c>
      <c r="I42">
        <v>48</v>
      </c>
      <c r="J42">
        <v>50.512999071494903</v>
      </c>
      <c r="K42">
        <v>43.719624933967253</v>
      </c>
      <c r="L42">
        <v>45.149554617909047</v>
      </c>
      <c r="M42">
        <f t="shared" si="0"/>
        <v>46.460726207790401</v>
      </c>
    </row>
    <row r="43" spans="1:13" x14ac:dyDescent="0.3">
      <c r="A43" t="s">
        <v>50</v>
      </c>
      <c r="B43" t="s">
        <v>710</v>
      </c>
      <c r="C43">
        <v>39.700000000000003</v>
      </c>
      <c r="D43">
        <v>1225579.1875</v>
      </c>
      <c r="E43">
        <v>1618200.109375</v>
      </c>
      <c r="F43">
        <v>1133866.96875</v>
      </c>
      <c r="G43">
        <v>3</v>
      </c>
      <c r="H43">
        <v>2</v>
      </c>
      <c r="I43">
        <v>2</v>
      </c>
      <c r="J43">
        <v>3.2242339832869078</v>
      </c>
      <c r="K43">
        <v>1.9872556788166931</v>
      </c>
      <c r="L43">
        <v>1.8812314424128771</v>
      </c>
      <c r="M43">
        <f t="shared" si="0"/>
        <v>2.3642403681721595</v>
      </c>
    </row>
    <row r="44" spans="1:13" x14ac:dyDescent="0.3">
      <c r="A44" t="s">
        <v>51</v>
      </c>
      <c r="B44" t="s">
        <v>711</v>
      </c>
      <c r="C44">
        <v>59.4</v>
      </c>
      <c r="D44">
        <v>2749068.75</v>
      </c>
      <c r="E44">
        <v>0</v>
      </c>
      <c r="F44">
        <v>3446530.0625</v>
      </c>
      <c r="G44">
        <v>3</v>
      </c>
      <c r="I44">
        <v>3</v>
      </c>
      <c r="J44">
        <v>3.2242339832869078</v>
      </c>
      <c r="K44" t="s">
        <v>1184</v>
      </c>
      <c r="L44">
        <v>2.821847163619315</v>
      </c>
      <c r="M44">
        <f t="shared" si="0"/>
        <v>3.0230405734531116</v>
      </c>
    </row>
    <row r="45" spans="1:13" x14ac:dyDescent="0.3">
      <c r="A45" t="s">
        <v>52</v>
      </c>
      <c r="B45" t="s">
        <v>712</v>
      </c>
      <c r="C45">
        <v>25.5</v>
      </c>
      <c r="D45">
        <v>43258556.78125</v>
      </c>
      <c r="E45">
        <v>46765727.78125</v>
      </c>
      <c r="F45">
        <v>46010569.25</v>
      </c>
      <c r="G45">
        <v>19</v>
      </c>
      <c r="H45">
        <v>17</v>
      </c>
      <c r="I45">
        <v>18</v>
      </c>
      <c r="J45">
        <v>20.420148560817079</v>
      </c>
      <c r="K45">
        <v>16.89167326994189</v>
      </c>
      <c r="L45">
        <v>16.931082981715889</v>
      </c>
      <c r="M45">
        <f t="shared" si="0"/>
        <v>18.080968270824954</v>
      </c>
    </row>
    <row r="46" spans="1:13" x14ac:dyDescent="0.3">
      <c r="A46" t="s">
        <v>53</v>
      </c>
      <c r="B46" t="s">
        <v>713</v>
      </c>
      <c r="C46">
        <v>45.9</v>
      </c>
      <c r="D46">
        <v>7589494</v>
      </c>
      <c r="E46">
        <v>7643539.40625</v>
      </c>
      <c r="F46">
        <v>9630864</v>
      </c>
      <c r="G46">
        <v>10</v>
      </c>
      <c r="H46">
        <v>12</v>
      </c>
      <c r="I46">
        <v>13</v>
      </c>
      <c r="J46">
        <v>10.747446610956359</v>
      </c>
      <c r="K46">
        <v>11.923534072900161</v>
      </c>
      <c r="L46">
        <v>12.2280043756837</v>
      </c>
      <c r="M46">
        <f t="shared" si="0"/>
        <v>11.63299501984674</v>
      </c>
    </row>
    <row r="47" spans="1:13" x14ac:dyDescent="0.3">
      <c r="A47" t="s">
        <v>54</v>
      </c>
      <c r="B47" t="s">
        <v>714</v>
      </c>
      <c r="C47">
        <v>62.6</v>
      </c>
      <c r="D47">
        <v>208248688.453125</v>
      </c>
      <c r="E47">
        <v>259409848.265625</v>
      </c>
      <c r="F47">
        <v>276605155.85156298</v>
      </c>
      <c r="G47">
        <v>65</v>
      </c>
      <c r="H47">
        <v>69</v>
      </c>
      <c r="I47">
        <v>70</v>
      </c>
      <c r="J47">
        <v>69.858402971216336</v>
      </c>
      <c r="K47">
        <v>68.560320919175908</v>
      </c>
      <c r="L47">
        <v>65.843100484450687</v>
      </c>
      <c r="M47">
        <f t="shared" si="0"/>
        <v>68.08727479161432</v>
      </c>
    </row>
    <row r="48" spans="1:13" x14ac:dyDescent="0.3">
      <c r="A48" t="s">
        <v>55</v>
      </c>
      <c r="B48" t="s">
        <v>715</v>
      </c>
      <c r="C48">
        <v>59.4</v>
      </c>
      <c r="D48">
        <v>122364970.75</v>
      </c>
      <c r="E48">
        <v>132604817.8125</v>
      </c>
      <c r="F48">
        <v>201653437.125</v>
      </c>
      <c r="G48">
        <v>109</v>
      </c>
      <c r="H48">
        <v>111</v>
      </c>
      <c r="I48">
        <v>116</v>
      </c>
      <c r="J48">
        <v>117.1471680594243</v>
      </c>
      <c r="K48">
        <v>110.29269017432649</v>
      </c>
      <c r="L48">
        <v>109.11142365994689</v>
      </c>
      <c r="M48">
        <f t="shared" si="0"/>
        <v>112.18376063123257</v>
      </c>
    </row>
    <row r="49" spans="1:13" x14ac:dyDescent="0.3">
      <c r="A49" t="s">
        <v>56</v>
      </c>
      <c r="B49" t="s">
        <v>716</v>
      </c>
      <c r="C49">
        <v>42.5</v>
      </c>
      <c r="D49">
        <v>37927921.8125</v>
      </c>
      <c r="E49">
        <v>43619035.375</v>
      </c>
      <c r="F49">
        <v>51407689.25</v>
      </c>
      <c r="G49">
        <v>22</v>
      </c>
      <c r="H49">
        <v>21</v>
      </c>
      <c r="I49">
        <v>21</v>
      </c>
      <c r="J49">
        <v>23.644382544103991</v>
      </c>
      <c r="K49">
        <v>20.866184627575279</v>
      </c>
      <c r="L49">
        <v>19.75293014533521</v>
      </c>
      <c r="M49">
        <f t="shared" si="0"/>
        <v>21.42116577233816</v>
      </c>
    </row>
    <row r="50" spans="1:13" x14ac:dyDescent="0.3">
      <c r="A50" t="s">
        <v>57</v>
      </c>
      <c r="B50" t="s">
        <v>717</v>
      </c>
      <c r="C50">
        <v>37.5</v>
      </c>
      <c r="D50">
        <v>1775726.4375</v>
      </c>
      <c r="E50">
        <v>0</v>
      </c>
      <c r="F50">
        <v>3836265.25</v>
      </c>
      <c r="G50">
        <v>3</v>
      </c>
      <c r="I50">
        <v>3</v>
      </c>
      <c r="J50">
        <v>3.2242339832869078</v>
      </c>
      <c r="K50" t="s">
        <v>1184</v>
      </c>
      <c r="L50">
        <v>2.821847163619315</v>
      </c>
      <c r="M50">
        <f t="shared" si="0"/>
        <v>3.0230405734531116</v>
      </c>
    </row>
    <row r="51" spans="1:13" x14ac:dyDescent="0.3">
      <c r="A51" t="s">
        <v>58</v>
      </c>
      <c r="B51" t="s">
        <v>718</v>
      </c>
      <c r="C51">
        <v>56.8</v>
      </c>
      <c r="D51">
        <v>8621694.84375</v>
      </c>
      <c r="E51">
        <v>9896303.25</v>
      </c>
      <c r="F51">
        <v>12576570.375</v>
      </c>
      <c r="G51">
        <v>13</v>
      </c>
      <c r="H51">
        <v>13</v>
      </c>
      <c r="I51">
        <v>19</v>
      </c>
      <c r="J51">
        <v>13.971680594243271</v>
      </c>
      <c r="K51">
        <v>12.917161912308501</v>
      </c>
      <c r="L51">
        <v>17.87169870292233</v>
      </c>
      <c r="M51">
        <f t="shared" si="0"/>
        <v>14.920180403158033</v>
      </c>
    </row>
    <row r="52" spans="1:13" x14ac:dyDescent="0.3">
      <c r="A52" t="s">
        <v>59</v>
      </c>
      <c r="B52" t="s">
        <v>719</v>
      </c>
      <c r="C52">
        <v>41</v>
      </c>
      <c r="D52">
        <v>3786908.75</v>
      </c>
      <c r="E52">
        <v>5121373.75</v>
      </c>
      <c r="F52">
        <v>5038586.75</v>
      </c>
      <c r="G52">
        <v>4</v>
      </c>
      <c r="H52">
        <v>4</v>
      </c>
      <c r="I52">
        <v>3</v>
      </c>
      <c r="J52">
        <v>4.2989786443825437</v>
      </c>
      <c r="K52">
        <v>3.9745113576333861</v>
      </c>
      <c r="L52">
        <v>2.821847163619315</v>
      </c>
      <c r="M52">
        <f t="shared" si="0"/>
        <v>3.6984457218784148</v>
      </c>
    </row>
    <row r="53" spans="1:13" x14ac:dyDescent="0.3">
      <c r="A53" t="s">
        <v>60</v>
      </c>
      <c r="B53" t="s">
        <v>720</v>
      </c>
      <c r="C53">
        <v>20</v>
      </c>
      <c r="D53">
        <v>2811076.25</v>
      </c>
      <c r="E53">
        <v>4770554.875</v>
      </c>
      <c r="F53">
        <v>10591075.21875</v>
      </c>
      <c r="G53">
        <v>3</v>
      </c>
      <c r="H53">
        <v>3</v>
      </c>
      <c r="I53">
        <v>7</v>
      </c>
      <c r="J53">
        <v>3.2242339832869078</v>
      </c>
      <c r="K53">
        <v>2.9808835182250402</v>
      </c>
      <c r="L53">
        <v>6.5843100484450696</v>
      </c>
      <c r="M53">
        <f t="shared" si="0"/>
        <v>4.2631425166523398</v>
      </c>
    </row>
    <row r="54" spans="1:13" x14ac:dyDescent="0.3">
      <c r="A54" t="s">
        <v>61</v>
      </c>
      <c r="B54" t="s">
        <v>721</v>
      </c>
      <c r="C54">
        <v>45.4</v>
      </c>
      <c r="D54">
        <v>13159518</v>
      </c>
      <c r="E54">
        <v>13263803.625</v>
      </c>
      <c r="F54">
        <v>25484049.125</v>
      </c>
      <c r="G54">
        <v>14</v>
      </c>
      <c r="H54">
        <v>12</v>
      </c>
      <c r="I54">
        <v>15</v>
      </c>
      <c r="J54">
        <v>15.0464252553389</v>
      </c>
      <c r="K54">
        <v>11.923534072900161</v>
      </c>
      <c r="L54">
        <v>14.109235818096581</v>
      </c>
      <c r="M54">
        <f t="shared" si="0"/>
        <v>13.693065048778548</v>
      </c>
    </row>
    <row r="55" spans="1:13" x14ac:dyDescent="0.3">
      <c r="A55" t="s">
        <v>62</v>
      </c>
      <c r="B55" t="s">
        <v>722</v>
      </c>
      <c r="C55">
        <v>15.4</v>
      </c>
      <c r="D55">
        <v>12496563.25</v>
      </c>
      <c r="E55">
        <v>12433967.25</v>
      </c>
      <c r="F55">
        <v>16254467.6875</v>
      </c>
      <c r="G55">
        <v>12</v>
      </c>
      <c r="H55">
        <v>13</v>
      </c>
      <c r="I55">
        <v>15</v>
      </c>
      <c r="J55">
        <v>12.896935933147629</v>
      </c>
      <c r="K55">
        <v>12.917161912308501</v>
      </c>
      <c r="L55">
        <v>14.109235818096581</v>
      </c>
      <c r="M55">
        <f t="shared" si="0"/>
        <v>13.307777887850904</v>
      </c>
    </row>
    <row r="56" spans="1:13" x14ac:dyDescent="0.3">
      <c r="A56" t="s">
        <v>63</v>
      </c>
      <c r="B56" t="s">
        <v>723</v>
      </c>
      <c r="C56">
        <v>64.599999999999994</v>
      </c>
      <c r="D56">
        <v>15148711.0625</v>
      </c>
      <c r="E56">
        <v>13701218.625</v>
      </c>
      <c r="F56">
        <v>25668987.1875</v>
      </c>
      <c r="G56">
        <v>19</v>
      </c>
      <c r="H56">
        <v>21</v>
      </c>
      <c r="I56">
        <v>24</v>
      </c>
      <c r="J56">
        <v>20.420148560817079</v>
      </c>
      <c r="K56">
        <v>20.866184627575279</v>
      </c>
      <c r="L56">
        <v>22.57477730895452</v>
      </c>
      <c r="M56">
        <f t="shared" si="0"/>
        <v>21.287036832448962</v>
      </c>
    </row>
    <row r="57" spans="1:13" x14ac:dyDescent="0.3">
      <c r="A57" t="s">
        <v>64</v>
      </c>
      <c r="B57" t="s">
        <v>724</v>
      </c>
      <c r="C57">
        <v>15.9</v>
      </c>
      <c r="D57">
        <v>5614427.5</v>
      </c>
      <c r="E57">
        <v>4102287</v>
      </c>
      <c r="F57">
        <v>7032456</v>
      </c>
      <c r="G57">
        <v>10</v>
      </c>
      <c r="H57">
        <v>11</v>
      </c>
      <c r="I57">
        <v>13</v>
      </c>
      <c r="J57">
        <v>10.747446610956359</v>
      </c>
      <c r="K57">
        <v>10.92990623349181</v>
      </c>
      <c r="L57">
        <v>12.2280043756837</v>
      </c>
      <c r="M57">
        <f t="shared" si="0"/>
        <v>11.301785740043956</v>
      </c>
    </row>
    <row r="58" spans="1:13" x14ac:dyDescent="0.3">
      <c r="A58" t="s">
        <v>65</v>
      </c>
      <c r="B58" t="s">
        <v>725</v>
      </c>
      <c r="C58">
        <v>22.6</v>
      </c>
      <c r="D58">
        <v>2122315.25</v>
      </c>
      <c r="E58">
        <v>2371934.25</v>
      </c>
      <c r="F58">
        <v>3224048.5</v>
      </c>
      <c r="G58">
        <v>23</v>
      </c>
      <c r="H58">
        <v>22</v>
      </c>
      <c r="I58">
        <v>23</v>
      </c>
      <c r="J58">
        <v>24.71912720519963</v>
      </c>
      <c r="K58">
        <v>21.85981246698362</v>
      </c>
      <c r="L58">
        <v>21.634161587748078</v>
      </c>
      <c r="M58">
        <f t="shared" si="0"/>
        <v>22.737700419977113</v>
      </c>
    </row>
    <row r="59" spans="1:13" x14ac:dyDescent="0.3">
      <c r="A59" t="s">
        <v>66</v>
      </c>
      <c r="B59" t="s">
        <v>726</v>
      </c>
      <c r="C59">
        <v>13</v>
      </c>
      <c r="D59">
        <v>29424256.8125</v>
      </c>
      <c r="E59">
        <v>26473881.25</v>
      </c>
      <c r="F59">
        <v>32173278.25</v>
      </c>
      <c r="G59">
        <v>12</v>
      </c>
      <c r="H59">
        <v>13</v>
      </c>
      <c r="I59">
        <v>10</v>
      </c>
      <c r="J59">
        <v>12.896935933147629</v>
      </c>
      <c r="K59">
        <v>12.917161912308501</v>
      </c>
      <c r="L59">
        <v>9.4061572120643842</v>
      </c>
      <c r="M59">
        <f t="shared" si="0"/>
        <v>11.740085019173506</v>
      </c>
    </row>
    <row r="60" spans="1:13" x14ac:dyDescent="0.3">
      <c r="A60" t="s">
        <v>67</v>
      </c>
      <c r="B60" t="s">
        <v>727</v>
      </c>
      <c r="C60">
        <v>21.9</v>
      </c>
      <c r="D60">
        <v>2789418.75</v>
      </c>
      <c r="E60">
        <v>2195662.75</v>
      </c>
      <c r="F60">
        <v>4317536.75</v>
      </c>
      <c r="G60">
        <v>4</v>
      </c>
      <c r="H60">
        <v>4</v>
      </c>
      <c r="I60">
        <v>4</v>
      </c>
      <c r="J60">
        <v>4.2989786443825437</v>
      </c>
      <c r="K60">
        <v>3.9745113576333861</v>
      </c>
      <c r="L60">
        <v>3.7624628848257542</v>
      </c>
      <c r="M60">
        <f t="shared" si="0"/>
        <v>4.0119842956138951</v>
      </c>
    </row>
    <row r="61" spans="1:13" x14ac:dyDescent="0.3">
      <c r="A61" t="s">
        <v>68</v>
      </c>
      <c r="B61" t="s">
        <v>728</v>
      </c>
      <c r="C61">
        <v>16.8</v>
      </c>
      <c r="D61">
        <v>9009701.125</v>
      </c>
      <c r="E61">
        <v>10693033.375</v>
      </c>
      <c r="F61">
        <v>12510504.75</v>
      </c>
      <c r="G61">
        <v>6</v>
      </c>
      <c r="H61">
        <v>6</v>
      </c>
      <c r="I61">
        <v>6</v>
      </c>
      <c r="J61">
        <v>6.4484679665738156</v>
      </c>
      <c r="K61">
        <v>5.9617670364500794</v>
      </c>
      <c r="L61">
        <v>5.6436943272386308</v>
      </c>
      <c r="M61">
        <f t="shared" si="0"/>
        <v>6.0179764434208423</v>
      </c>
    </row>
    <row r="62" spans="1:13" x14ac:dyDescent="0.3">
      <c r="A62" t="s">
        <v>69</v>
      </c>
      <c r="B62" t="s">
        <v>729</v>
      </c>
      <c r="C62">
        <v>24.9</v>
      </c>
      <c r="D62">
        <v>15118577.875</v>
      </c>
      <c r="E62">
        <v>9427222</v>
      </c>
      <c r="F62">
        <v>13650078.5</v>
      </c>
      <c r="G62">
        <v>8</v>
      </c>
      <c r="H62">
        <v>8</v>
      </c>
      <c r="I62">
        <v>8</v>
      </c>
      <c r="J62">
        <v>8.5979572887650875</v>
      </c>
      <c r="K62">
        <v>7.9490227152667723</v>
      </c>
      <c r="L62">
        <v>7.5249257696515084</v>
      </c>
      <c r="M62">
        <f t="shared" si="0"/>
        <v>8.0239685912277903</v>
      </c>
    </row>
    <row r="63" spans="1:13" x14ac:dyDescent="0.3">
      <c r="A63" t="s">
        <v>70</v>
      </c>
      <c r="B63" t="s">
        <v>730</v>
      </c>
      <c r="C63">
        <v>8.5</v>
      </c>
      <c r="D63">
        <v>2271610.625</v>
      </c>
      <c r="E63">
        <v>3177456.125</v>
      </c>
      <c r="F63">
        <v>0</v>
      </c>
      <c r="G63">
        <v>3</v>
      </c>
      <c r="H63">
        <v>2</v>
      </c>
      <c r="J63">
        <v>3.2242339832869078</v>
      </c>
      <c r="K63">
        <v>1.9872556788166931</v>
      </c>
      <c r="L63" t="s">
        <v>1184</v>
      </c>
      <c r="M63">
        <f t="shared" si="0"/>
        <v>2.6057448310518003</v>
      </c>
    </row>
    <row r="64" spans="1:13" x14ac:dyDescent="0.3">
      <c r="A64" t="s">
        <v>71</v>
      </c>
      <c r="B64" t="s">
        <v>685</v>
      </c>
      <c r="C64">
        <v>61.1</v>
      </c>
      <c r="D64">
        <v>933180.45703125</v>
      </c>
      <c r="E64">
        <v>0</v>
      </c>
      <c r="F64">
        <v>933645.1484375</v>
      </c>
      <c r="G64">
        <v>3</v>
      </c>
      <c r="I64">
        <v>2</v>
      </c>
      <c r="J64">
        <v>3.2242339832869078</v>
      </c>
      <c r="K64" t="s">
        <v>1184</v>
      </c>
      <c r="L64">
        <v>1.8812314424128771</v>
      </c>
      <c r="M64">
        <f t="shared" si="0"/>
        <v>2.5527327128498927</v>
      </c>
    </row>
    <row r="65" spans="1:13" x14ac:dyDescent="0.3">
      <c r="A65" t="s">
        <v>72</v>
      </c>
      <c r="B65" t="s">
        <v>731</v>
      </c>
      <c r="C65">
        <v>35.799999999999997</v>
      </c>
      <c r="D65">
        <v>5486626</v>
      </c>
      <c r="E65">
        <v>11790010.0625</v>
      </c>
      <c r="F65">
        <v>15633673.875</v>
      </c>
      <c r="G65">
        <v>8</v>
      </c>
      <c r="H65">
        <v>11</v>
      </c>
      <c r="I65">
        <v>11</v>
      </c>
      <c r="J65">
        <v>8.5979572887650875</v>
      </c>
      <c r="K65">
        <v>10.92990623349181</v>
      </c>
      <c r="L65">
        <v>10.34677293327082</v>
      </c>
      <c r="M65">
        <f t="shared" si="0"/>
        <v>9.9582121518425719</v>
      </c>
    </row>
    <row r="66" spans="1:13" x14ac:dyDescent="0.3">
      <c r="A66" t="s">
        <v>73</v>
      </c>
      <c r="B66" t="s">
        <v>732</v>
      </c>
      <c r="C66">
        <v>40.700000000000003</v>
      </c>
      <c r="D66">
        <v>1264598.8125</v>
      </c>
      <c r="E66">
        <v>0</v>
      </c>
      <c r="F66">
        <v>1651638.125</v>
      </c>
      <c r="G66">
        <v>4</v>
      </c>
      <c r="I66">
        <v>4</v>
      </c>
      <c r="J66">
        <v>4.2989786443825437</v>
      </c>
      <c r="K66" t="s">
        <v>1184</v>
      </c>
      <c r="L66">
        <v>3.7624628848257542</v>
      </c>
      <c r="M66">
        <f t="shared" si="0"/>
        <v>4.0307207646041494</v>
      </c>
    </row>
    <row r="67" spans="1:13" x14ac:dyDescent="0.3">
      <c r="A67" t="s">
        <v>74</v>
      </c>
      <c r="B67" t="s">
        <v>733</v>
      </c>
      <c r="C67">
        <v>23.7</v>
      </c>
      <c r="D67">
        <v>26952860.5625</v>
      </c>
      <c r="E67">
        <v>24347348.5</v>
      </c>
      <c r="F67">
        <v>32186196.6875</v>
      </c>
      <c r="G67">
        <v>19</v>
      </c>
      <c r="H67">
        <v>17</v>
      </c>
      <c r="I67">
        <v>20</v>
      </c>
      <c r="J67">
        <v>20.420148560817079</v>
      </c>
      <c r="K67">
        <v>16.89167326994189</v>
      </c>
      <c r="L67">
        <v>18.812314424128768</v>
      </c>
      <c r="M67">
        <f t="shared" si="0"/>
        <v>18.708045418295914</v>
      </c>
    </row>
    <row r="68" spans="1:13" x14ac:dyDescent="0.3">
      <c r="A68" t="s">
        <v>75</v>
      </c>
      <c r="B68" t="s">
        <v>685</v>
      </c>
      <c r="C68">
        <v>115.6</v>
      </c>
      <c r="D68">
        <v>6433773.875</v>
      </c>
      <c r="E68">
        <v>0</v>
      </c>
      <c r="F68">
        <v>5793857</v>
      </c>
      <c r="G68">
        <v>10</v>
      </c>
      <c r="I68">
        <v>10</v>
      </c>
      <c r="J68">
        <v>10.747446610956359</v>
      </c>
      <c r="K68" t="s">
        <v>1184</v>
      </c>
      <c r="L68">
        <v>9.4061572120643842</v>
      </c>
      <c r="M68">
        <f t="shared" ref="M68:M131" si="1">AVERAGE(J68:L68)</f>
        <v>10.076801911510373</v>
      </c>
    </row>
    <row r="69" spans="1:13" x14ac:dyDescent="0.3">
      <c r="A69" t="s">
        <v>76</v>
      </c>
      <c r="B69" t="s">
        <v>734</v>
      </c>
      <c r="C69">
        <v>22</v>
      </c>
      <c r="D69">
        <v>786725.5</v>
      </c>
      <c r="E69">
        <v>774244.375</v>
      </c>
      <c r="F69">
        <v>965630.875</v>
      </c>
      <c r="G69">
        <v>16</v>
      </c>
      <c r="H69">
        <v>15</v>
      </c>
      <c r="I69">
        <v>12</v>
      </c>
      <c r="J69">
        <v>17.195914577530171</v>
      </c>
      <c r="K69">
        <v>14.904417591125201</v>
      </c>
      <c r="L69">
        <v>11.28738865447726</v>
      </c>
      <c r="M69">
        <f t="shared" si="1"/>
        <v>14.462573607710878</v>
      </c>
    </row>
    <row r="70" spans="1:13" x14ac:dyDescent="0.3">
      <c r="A70" t="s">
        <v>77</v>
      </c>
      <c r="B70" t="s">
        <v>735</v>
      </c>
      <c r="C70">
        <v>23.6</v>
      </c>
      <c r="D70">
        <v>64561223.125</v>
      </c>
      <c r="E70">
        <v>78789153.015625</v>
      </c>
      <c r="F70">
        <v>100132177.875</v>
      </c>
      <c r="G70">
        <v>19</v>
      </c>
      <c r="H70">
        <v>19</v>
      </c>
      <c r="I70">
        <v>16</v>
      </c>
      <c r="J70">
        <v>20.420148560817079</v>
      </c>
      <c r="K70">
        <v>18.878928948758581</v>
      </c>
      <c r="L70">
        <v>15.04985153930302</v>
      </c>
      <c r="M70">
        <f t="shared" si="1"/>
        <v>18.11630968295956</v>
      </c>
    </row>
    <row r="71" spans="1:13" x14ac:dyDescent="0.3">
      <c r="A71" t="s">
        <v>78</v>
      </c>
      <c r="B71" t="s">
        <v>723</v>
      </c>
      <c r="C71">
        <v>62.5</v>
      </c>
      <c r="D71">
        <v>3852814.91796875</v>
      </c>
      <c r="E71">
        <v>4109466.84375</v>
      </c>
      <c r="F71">
        <v>5835884.1875</v>
      </c>
      <c r="G71">
        <v>7</v>
      </c>
      <c r="H71">
        <v>9</v>
      </c>
      <c r="I71">
        <v>8</v>
      </c>
      <c r="J71">
        <v>7.5232126276694524</v>
      </c>
      <c r="K71">
        <v>8.9426505546751187</v>
      </c>
      <c r="L71">
        <v>7.5249257696515084</v>
      </c>
      <c r="M71">
        <f t="shared" si="1"/>
        <v>7.9969296506653604</v>
      </c>
    </row>
    <row r="72" spans="1:13" x14ac:dyDescent="0.3">
      <c r="A72" t="s">
        <v>79</v>
      </c>
      <c r="B72" t="s">
        <v>736</v>
      </c>
      <c r="C72">
        <v>15.5</v>
      </c>
      <c r="D72">
        <v>1759303.125</v>
      </c>
      <c r="E72">
        <v>1494993.125</v>
      </c>
      <c r="F72">
        <v>1794560.875</v>
      </c>
      <c r="G72">
        <v>7</v>
      </c>
      <c r="H72">
        <v>8</v>
      </c>
      <c r="I72">
        <v>7</v>
      </c>
      <c r="J72">
        <v>7.5232126276694524</v>
      </c>
      <c r="K72">
        <v>7.9490227152667723</v>
      </c>
      <c r="L72">
        <v>6.5843100484450696</v>
      </c>
      <c r="M72">
        <f t="shared" si="1"/>
        <v>7.3521817971270984</v>
      </c>
    </row>
    <row r="73" spans="1:13" x14ac:dyDescent="0.3">
      <c r="A73" t="s">
        <v>80</v>
      </c>
      <c r="B73" t="s">
        <v>737</v>
      </c>
      <c r="C73">
        <v>31.8</v>
      </c>
      <c r="D73">
        <v>25717198.625</v>
      </c>
      <c r="E73">
        <v>23481638.53125</v>
      </c>
      <c r="F73">
        <v>21945170.125</v>
      </c>
      <c r="G73">
        <v>17</v>
      </c>
      <c r="H73">
        <v>16</v>
      </c>
      <c r="I73">
        <v>17</v>
      </c>
      <c r="J73">
        <v>18.270659238625811</v>
      </c>
      <c r="K73">
        <v>15.898045430533539</v>
      </c>
      <c r="L73">
        <v>15.990467260509449</v>
      </c>
      <c r="M73">
        <f t="shared" si="1"/>
        <v>16.719723976556267</v>
      </c>
    </row>
    <row r="74" spans="1:13" x14ac:dyDescent="0.3">
      <c r="A74" t="s">
        <v>81</v>
      </c>
      <c r="B74" t="s">
        <v>738</v>
      </c>
      <c r="C74">
        <v>16.8</v>
      </c>
      <c r="D74">
        <v>3840421.625</v>
      </c>
      <c r="E74">
        <v>0</v>
      </c>
      <c r="F74">
        <v>0</v>
      </c>
      <c r="G74">
        <v>3</v>
      </c>
      <c r="J74">
        <v>3.2242339832869078</v>
      </c>
      <c r="K74" t="s">
        <v>1184</v>
      </c>
      <c r="L74" t="s">
        <v>1184</v>
      </c>
      <c r="M74">
        <f t="shared" si="1"/>
        <v>3.2242339832869078</v>
      </c>
    </row>
    <row r="75" spans="1:13" x14ac:dyDescent="0.3">
      <c r="A75" t="s">
        <v>82</v>
      </c>
      <c r="B75" t="s">
        <v>739</v>
      </c>
      <c r="C75">
        <v>32.6</v>
      </c>
      <c r="D75">
        <v>3379255.125</v>
      </c>
      <c r="E75">
        <v>3200913.5625</v>
      </c>
      <c r="F75">
        <v>2947681.0625</v>
      </c>
      <c r="G75">
        <v>4</v>
      </c>
      <c r="H75">
        <v>3</v>
      </c>
      <c r="I75">
        <v>3</v>
      </c>
      <c r="J75">
        <v>4.2989786443825437</v>
      </c>
      <c r="K75">
        <v>2.9808835182250402</v>
      </c>
      <c r="L75">
        <v>2.821847163619315</v>
      </c>
      <c r="M75">
        <f t="shared" si="1"/>
        <v>3.3672364420756331</v>
      </c>
    </row>
    <row r="76" spans="1:13" x14ac:dyDescent="0.3">
      <c r="A76" t="s">
        <v>83</v>
      </c>
      <c r="B76" t="s">
        <v>740</v>
      </c>
      <c r="C76">
        <v>68.400000000000006</v>
      </c>
      <c r="D76">
        <v>22485516.625</v>
      </c>
      <c r="E76">
        <v>20992417.125</v>
      </c>
      <c r="F76">
        <v>29497993.9375</v>
      </c>
      <c r="G76">
        <v>43</v>
      </c>
      <c r="H76">
        <v>45</v>
      </c>
      <c r="I76">
        <v>41</v>
      </c>
      <c r="J76">
        <v>46.214020427112352</v>
      </c>
      <c r="K76">
        <v>44.713252773375586</v>
      </c>
      <c r="L76">
        <v>38.565244569463978</v>
      </c>
      <c r="M76">
        <f t="shared" si="1"/>
        <v>43.16417258998397</v>
      </c>
    </row>
    <row r="77" spans="1:13" x14ac:dyDescent="0.3">
      <c r="A77" t="s">
        <v>84</v>
      </c>
      <c r="B77" t="s">
        <v>685</v>
      </c>
      <c r="C77">
        <v>17.399999999999999</v>
      </c>
      <c r="D77">
        <v>49897462.75</v>
      </c>
      <c r="E77">
        <v>62462023.71875</v>
      </c>
      <c r="F77">
        <v>92593161.25</v>
      </c>
      <c r="G77">
        <v>19</v>
      </c>
      <c r="H77">
        <v>27</v>
      </c>
      <c r="I77">
        <v>24</v>
      </c>
      <c r="J77">
        <v>20.420148560817079</v>
      </c>
      <c r="K77">
        <v>26.827951664025349</v>
      </c>
      <c r="L77">
        <v>22.57477730895452</v>
      </c>
      <c r="M77">
        <f t="shared" si="1"/>
        <v>23.274292511265653</v>
      </c>
    </row>
    <row r="78" spans="1:13" x14ac:dyDescent="0.3">
      <c r="A78" t="s">
        <v>85</v>
      </c>
      <c r="B78" t="s">
        <v>741</v>
      </c>
      <c r="C78">
        <v>64</v>
      </c>
      <c r="D78">
        <v>21901454.875</v>
      </c>
      <c r="E78">
        <v>16293522.5</v>
      </c>
      <c r="F78">
        <v>18221401.1875</v>
      </c>
      <c r="G78">
        <v>20</v>
      </c>
      <c r="H78">
        <v>17</v>
      </c>
      <c r="I78">
        <v>18</v>
      </c>
      <c r="J78">
        <v>21.494893221912719</v>
      </c>
      <c r="K78">
        <v>16.89167326994189</v>
      </c>
      <c r="L78">
        <v>16.931082981715889</v>
      </c>
      <c r="M78">
        <f t="shared" si="1"/>
        <v>18.439216491190166</v>
      </c>
    </row>
    <row r="79" spans="1:13" x14ac:dyDescent="0.3">
      <c r="A79" t="s">
        <v>86</v>
      </c>
      <c r="B79" t="s">
        <v>742</v>
      </c>
      <c r="C79">
        <v>30.1</v>
      </c>
      <c r="D79">
        <v>38050960.5</v>
      </c>
      <c r="E79">
        <v>39959957.5</v>
      </c>
      <c r="F79">
        <v>47049961.8125</v>
      </c>
      <c r="G79">
        <v>26</v>
      </c>
      <c r="H79">
        <v>29</v>
      </c>
      <c r="I79">
        <v>27</v>
      </c>
      <c r="J79">
        <v>27.943361188486531</v>
      </c>
      <c r="K79">
        <v>28.815207342842051</v>
      </c>
      <c r="L79">
        <v>25.396624472573841</v>
      </c>
      <c r="M79">
        <f t="shared" si="1"/>
        <v>27.385064334634137</v>
      </c>
    </row>
    <row r="80" spans="1:13" x14ac:dyDescent="0.3">
      <c r="A80" t="s">
        <v>87</v>
      </c>
      <c r="B80" t="s">
        <v>743</v>
      </c>
      <c r="C80">
        <v>33.700000000000003</v>
      </c>
      <c r="D80">
        <v>10780309</v>
      </c>
      <c r="E80">
        <v>11752468</v>
      </c>
      <c r="F80">
        <v>14112843</v>
      </c>
      <c r="G80">
        <v>5</v>
      </c>
      <c r="H80">
        <v>5</v>
      </c>
      <c r="I80">
        <v>5</v>
      </c>
      <c r="J80">
        <v>5.3737233054781806</v>
      </c>
      <c r="K80">
        <v>4.968139197041733</v>
      </c>
      <c r="L80">
        <v>4.7030786060321921</v>
      </c>
      <c r="M80">
        <f t="shared" si="1"/>
        <v>5.0149803695173683</v>
      </c>
    </row>
    <row r="81" spans="1:13" x14ac:dyDescent="0.3">
      <c r="A81" t="s">
        <v>88</v>
      </c>
      <c r="B81" t="s">
        <v>744</v>
      </c>
      <c r="C81">
        <v>45.7</v>
      </c>
      <c r="D81">
        <v>13243832.8125</v>
      </c>
      <c r="E81">
        <v>14994961.3125</v>
      </c>
      <c r="F81">
        <v>24739480.875</v>
      </c>
      <c r="G81">
        <v>14</v>
      </c>
      <c r="H81">
        <v>17</v>
      </c>
      <c r="I81">
        <v>16</v>
      </c>
      <c r="J81">
        <v>15.0464252553389</v>
      </c>
      <c r="K81">
        <v>16.89167326994189</v>
      </c>
      <c r="L81">
        <v>15.04985153930302</v>
      </c>
      <c r="M81">
        <f t="shared" si="1"/>
        <v>15.662650021527938</v>
      </c>
    </row>
    <row r="82" spans="1:13" x14ac:dyDescent="0.3">
      <c r="A82" t="s">
        <v>89</v>
      </c>
      <c r="B82" t="s">
        <v>745</v>
      </c>
      <c r="C82">
        <v>22.4</v>
      </c>
      <c r="D82">
        <v>4047623.5625</v>
      </c>
      <c r="E82">
        <v>2111133.75</v>
      </c>
      <c r="F82">
        <v>3336460.375</v>
      </c>
      <c r="G82">
        <v>6</v>
      </c>
      <c r="H82">
        <v>3</v>
      </c>
      <c r="I82">
        <v>3</v>
      </c>
      <c r="J82">
        <v>6.4484679665738156</v>
      </c>
      <c r="K82">
        <v>2.9808835182250402</v>
      </c>
      <c r="L82">
        <v>2.821847163619315</v>
      </c>
      <c r="M82">
        <f t="shared" si="1"/>
        <v>4.0837328828060571</v>
      </c>
    </row>
    <row r="83" spans="1:13" x14ac:dyDescent="0.3">
      <c r="A83" t="s">
        <v>90</v>
      </c>
      <c r="B83" t="s">
        <v>746</v>
      </c>
      <c r="C83">
        <v>32.9</v>
      </c>
      <c r="D83">
        <v>5253907.1875</v>
      </c>
      <c r="E83">
        <v>28444806</v>
      </c>
      <c r="F83">
        <v>8281507.34375</v>
      </c>
      <c r="G83">
        <v>19</v>
      </c>
      <c r="H83">
        <v>21</v>
      </c>
      <c r="I83">
        <v>19</v>
      </c>
      <c r="J83">
        <v>20.420148560817079</v>
      </c>
      <c r="K83">
        <v>20.866184627575279</v>
      </c>
      <c r="L83">
        <v>17.87169870292233</v>
      </c>
      <c r="M83">
        <f t="shared" si="1"/>
        <v>19.719343963771564</v>
      </c>
    </row>
    <row r="84" spans="1:13" x14ac:dyDescent="0.3">
      <c r="A84" t="s">
        <v>91</v>
      </c>
      <c r="B84" t="s">
        <v>685</v>
      </c>
      <c r="C84">
        <v>45.9</v>
      </c>
      <c r="D84">
        <v>25340804.75</v>
      </c>
      <c r="E84">
        <v>26077569.625</v>
      </c>
      <c r="F84">
        <v>36224763.3125</v>
      </c>
      <c r="G84">
        <v>18</v>
      </c>
      <c r="H84">
        <v>17</v>
      </c>
      <c r="I84">
        <v>22</v>
      </c>
      <c r="J84">
        <v>19.34540389972145</v>
      </c>
      <c r="K84">
        <v>16.89167326994189</v>
      </c>
      <c r="L84">
        <v>20.693545866541651</v>
      </c>
      <c r="M84">
        <f t="shared" si="1"/>
        <v>18.976874345401665</v>
      </c>
    </row>
    <row r="85" spans="1:13" x14ac:dyDescent="0.3">
      <c r="A85" t="s">
        <v>92</v>
      </c>
      <c r="B85" t="s">
        <v>747</v>
      </c>
      <c r="C85">
        <v>87.5</v>
      </c>
      <c r="D85">
        <v>0</v>
      </c>
      <c r="E85">
        <v>18937255.90625</v>
      </c>
      <c r="F85">
        <v>19556997.15625</v>
      </c>
      <c r="G85">
        <v>25</v>
      </c>
      <c r="H85">
        <v>28</v>
      </c>
      <c r="I85">
        <v>28</v>
      </c>
      <c r="J85">
        <v>26.868616527390898</v>
      </c>
      <c r="K85">
        <v>27.8215795034337</v>
      </c>
      <c r="L85">
        <v>26.337240193780278</v>
      </c>
      <c r="M85">
        <f t="shared" si="1"/>
        <v>27.009145408201622</v>
      </c>
    </row>
    <row r="86" spans="1:13" x14ac:dyDescent="0.3">
      <c r="A86" t="s">
        <v>93</v>
      </c>
      <c r="B86" t="s">
        <v>748</v>
      </c>
      <c r="C86">
        <v>27.8</v>
      </c>
      <c r="D86">
        <v>43769995.8125</v>
      </c>
      <c r="E86">
        <v>92548688.1875</v>
      </c>
      <c r="F86">
        <v>76952555.25</v>
      </c>
      <c r="G86">
        <v>33</v>
      </c>
      <c r="H86">
        <v>34</v>
      </c>
      <c r="I86">
        <v>38</v>
      </c>
      <c r="J86">
        <v>35.466573816155993</v>
      </c>
      <c r="K86">
        <v>33.78334653988378</v>
      </c>
      <c r="L86">
        <v>35.743397405844661</v>
      </c>
      <c r="M86">
        <f t="shared" si="1"/>
        <v>34.997772587294811</v>
      </c>
    </row>
    <row r="87" spans="1:13" x14ac:dyDescent="0.3">
      <c r="A87" t="s">
        <v>94</v>
      </c>
      <c r="B87" t="s">
        <v>749</v>
      </c>
      <c r="C87">
        <v>35.6</v>
      </c>
      <c r="D87">
        <v>37207780.0625</v>
      </c>
      <c r="E87">
        <v>35655362.09375</v>
      </c>
      <c r="F87">
        <v>47560254.875</v>
      </c>
      <c r="G87">
        <v>24</v>
      </c>
      <c r="H87">
        <v>21</v>
      </c>
      <c r="I87">
        <v>25</v>
      </c>
      <c r="J87">
        <v>25.79387186629527</v>
      </c>
      <c r="K87">
        <v>20.866184627575279</v>
      </c>
      <c r="L87">
        <v>23.515393030160961</v>
      </c>
      <c r="M87">
        <f t="shared" si="1"/>
        <v>23.391816508010503</v>
      </c>
    </row>
    <row r="88" spans="1:13" x14ac:dyDescent="0.3">
      <c r="A88" t="s">
        <v>95</v>
      </c>
      <c r="B88" t="s">
        <v>750</v>
      </c>
      <c r="C88">
        <v>28.6</v>
      </c>
      <c r="D88">
        <v>6683658.25</v>
      </c>
      <c r="E88">
        <v>0</v>
      </c>
      <c r="F88">
        <v>0</v>
      </c>
      <c r="G88">
        <v>5</v>
      </c>
      <c r="J88">
        <v>5.3737233054781806</v>
      </c>
      <c r="K88" t="s">
        <v>1184</v>
      </c>
      <c r="L88" t="s">
        <v>1184</v>
      </c>
      <c r="M88">
        <f t="shared" si="1"/>
        <v>5.3737233054781806</v>
      </c>
    </row>
    <row r="89" spans="1:13" x14ac:dyDescent="0.3">
      <c r="A89" t="s">
        <v>96</v>
      </c>
      <c r="B89" t="s">
        <v>751</v>
      </c>
      <c r="C89">
        <v>19</v>
      </c>
      <c r="D89">
        <v>24836961.1875</v>
      </c>
      <c r="E89">
        <v>4972183.25</v>
      </c>
      <c r="F89">
        <v>9367010.25</v>
      </c>
      <c r="G89">
        <v>13</v>
      </c>
      <c r="H89">
        <v>12</v>
      </c>
      <c r="I89">
        <v>16</v>
      </c>
      <c r="J89">
        <v>13.971680594243271</v>
      </c>
      <c r="K89">
        <v>11.923534072900161</v>
      </c>
      <c r="L89">
        <v>15.04985153930302</v>
      </c>
      <c r="M89">
        <f t="shared" si="1"/>
        <v>13.648355402148818</v>
      </c>
    </row>
    <row r="90" spans="1:13" x14ac:dyDescent="0.3">
      <c r="A90" t="s">
        <v>97</v>
      </c>
      <c r="B90" t="s">
        <v>752</v>
      </c>
      <c r="C90">
        <v>75.8</v>
      </c>
      <c r="D90">
        <v>2959781.625</v>
      </c>
      <c r="E90">
        <v>3451671.875</v>
      </c>
      <c r="F90">
        <v>3438731.875</v>
      </c>
      <c r="G90">
        <v>18</v>
      </c>
      <c r="H90">
        <v>23</v>
      </c>
      <c r="I90">
        <v>18</v>
      </c>
      <c r="J90">
        <v>19.34540389972145</v>
      </c>
      <c r="K90">
        <v>22.85344030639197</v>
      </c>
      <c r="L90">
        <v>16.931082981715889</v>
      </c>
      <c r="M90">
        <f t="shared" si="1"/>
        <v>19.709975729276437</v>
      </c>
    </row>
    <row r="91" spans="1:13" x14ac:dyDescent="0.3">
      <c r="A91" t="s">
        <v>98</v>
      </c>
      <c r="B91" t="s">
        <v>753</v>
      </c>
      <c r="C91">
        <v>10.6</v>
      </c>
      <c r="D91">
        <v>1050092.5</v>
      </c>
      <c r="E91">
        <v>1303828.25</v>
      </c>
      <c r="F91">
        <v>1866749.625</v>
      </c>
      <c r="G91">
        <v>5</v>
      </c>
      <c r="H91">
        <v>5</v>
      </c>
      <c r="I91">
        <v>5</v>
      </c>
      <c r="J91">
        <v>5.3737233054781806</v>
      </c>
      <c r="K91">
        <v>4.968139197041733</v>
      </c>
      <c r="L91">
        <v>4.7030786060321921</v>
      </c>
      <c r="M91">
        <f t="shared" si="1"/>
        <v>5.0149803695173683</v>
      </c>
    </row>
    <row r="92" spans="1:13" x14ac:dyDescent="0.3">
      <c r="A92" t="s">
        <v>99</v>
      </c>
      <c r="B92" t="s">
        <v>754</v>
      </c>
      <c r="C92">
        <v>30.4</v>
      </c>
      <c r="D92">
        <v>3980551.875</v>
      </c>
      <c r="E92">
        <v>3527110.25</v>
      </c>
      <c r="F92">
        <v>3291681.59375</v>
      </c>
      <c r="G92">
        <v>4</v>
      </c>
      <c r="H92">
        <v>3</v>
      </c>
      <c r="I92">
        <v>5</v>
      </c>
      <c r="J92">
        <v>4.2989786443825437</v>
      </c>
      <c r="K92">
        <v>2.9808835182250402</v>
      </c>
      <c r="L92">
        <v>4.7030786060321921</v>
      </c>
      <c r="M92">
        <f t="shared" si="1"/>
        <v>3.9943135895465915</v>
      </c>
    </row>
    <row r="93" spans="1:13" x14ac:dyDescent="0.3">
      <c r="A93" t="s">
        <v>100</v>
      </c>
      <c r="B93" t="s">
        <v>755</v>
      </c>
      <c r="C93">
        <v>39</v>
      </c>
      <c r="D93">
        <v>2913586.8125</v>
      </c>
      <c r="E93">
        <v>3398483.5625</v>
      </c>
      <c r="F93">
        <v>4623144.125</v>
      </c>
      <c r="G93">
        <v>7</v>
      </c>
      <c r="H93">
        <v>8</v>
      </c>
      <c r="I93">
        <v>8</v>
      </c>
      <c r="J93">
        <v>7.5232126276694524</v>
      </c>
      <c r="K93">
        <v>7.9490227152667723</v>
      </c>
      <c r="L93">
        <v>7.5249257696515084</v>
      </c>
      <c r="M93">
        <f t="shared" si="1"/>
        <v>7.6657203708625774</v>
      </c>
    </row>
    <row r="94" spans="1:13" x14ac:dyDescent="0.3">
      <c r="A94" t="s">
        <v>101</v>
      </c>
      <c r="B94" t="s">
        <v>685</v>
      </c>
      <c r="C94">
        <v>83.3</v>
      </c>
      <c r="D94">
        <v>2667512.5</v>
      </c>
      <c r="E94">
        <v>2194222.375</v>
      </c>
      <c r="F94">
        <v>3144046.9375</v>
      </c>
      <c r="G94">
        <v>5</v>
      </c>
      <c r="H94">
        <v>3</v>
      </c>
      <c r="I94">
        <v>3</v>
      </c>
      <c r="J94">
        <v>5.3737233054781806</v>
      </c>
      <c r="K94">
        <v>2.9808835182250402</v>
      </c>
      <c r="L94">
        <v>2.821847163619315</v>
      </c>
      <c r="M94">
        <f t="shared" si="1"/>
        <v>3.7254846624408455</v>
      </c>
    </row>
    <row r="95" spans="1:13" x14ac:dyDescent="0.3">
      <c r="A95" t="s">
        <v>102</v>
      </c>
      <c r="B95" t="s">
        <v>756</v>
      </c>
      <c r="C95">
        <v>39.200000000000003</v>
      </c>
      <c r="D95">
        <v>2725852.34375</v>
      </c>
      <c r="E95">
        <v>2492184.21875</v>
      </c>
      <c r="F95">
        <v>2040671.625</v>
      </c>
      <c r="G95">
        <v>5</v>
      </c>
      <c r="H95">
        <v>4</v>
      </c>
      <c r="I95">
        <v>3</v>
      </c>
      <c r="J95">
        <v>5.3737233054781806</v>
      </c>
      <c r="K95">
        <v>3.9745113576333861</v>
      </c>
      <c r="L95">
        <v>2.821847163619315</v>
      </c>
      <c r="M95">
        <f t="shared" si="1"/>
        <v>4.0566939422436272</v>
      </c>
    </row>
    <row r="96" spans="1:13" x14ac:dyDescent="0.3">
      <c r="A96" t="s">
        <v>103</v>
      </c>
      <c r="B96" t="s">
        <v>757</v>
      </c>
      <c r="C96">
        <v>15.8</v>
      </c>
      <c r="D96">
        <v>2907876.25</v>
      </c>
      <c r="E96">
        <v>5342807.75</v>
      </c>
      <c r="F96">
        <v>3674117.5</v>
      </c>
      <c r="G96">
        <v>6</v>
      </c>
      <c r="H96">
        <v>7</v>
      </c>
      <c r="I96">
        <v>6</v>
      </c>
      <c r="J96">
        <v>6.4484679665738156</v>
      </c>
      <c r="K96">
        <v>6.9553948758584259</v>
      </c>
      <c r="L96">
        <v>5.6436943272386308</v>
      </c>
      <c r="M96">
        <f t="shared" si="1"/>
        <v>6.3491857232236244</v>
      </c>
    </row>
    <row r="97" spans="1:13" x14ac:dyDescent="0.3">
      <c r="A97" t="s">
        <v>104</v>
      </c>
      <c r="B97" t="s">
        <v>758</v>
      </c>
      <c r="C97">
        <v>15.5</v>
      </c>
      <c r="D97">
        <v>2187990.4375</v>
      </c>
      <c r="E97">
        <v>1269855.875</v>
      </c>
      <c r="F97">
        <v>1563707.625</v>
      </c>
      <c r="G97">
        <v>8</v>
      </c>
      <c r="H97">
        <v>8</v>
      </c>
      <c r="I97">
        <v>7</v>
      </c>
      <c r="J97">
        <v>8.5979572887650875</v>
      </c>
      <c r="K97">
        <v>7.9490227152667723</v>
      </c>
      <c r="L97">
        <v>6.5843100484450696</v>
      </c>
      <c r="M97">
        <f t="shared" si="1"/>
        <v>7.7104300174923095</v>
      </c>
    </row>
    <row r="98" spans="1:13" x14ac:dyDescent="0.3">
      <c r="A98" t="s">
        <v>105</v>
      </c>
      <c r="B98" t="s">
        <v>759</v>
      </c>
      <c r="C98">
        <v>81.400000000000006</v>
      </c>
      <c r="D98">
        <v>27007831.5</v>
      </c>
      <c r="E98">
        <v>26040173.25</v>
      </c>
      <c r="F98">
        <v>23031681.5</v>
      </c>
      <c r="G98">
        <v>27</v>
      </c>
      <c r="H98">
        <v>27</v>
      </c>
      <c r="I98">
        <v>30</v>
      </c>
      <c r="J98">
        <v>29.01810584958217</v>
      </c>
      <c r="K98">
        <v>26.827951664025349</v>
      </c>
      <c r="L98">
        <v>28.218471636193151</v>
      </c>
      <c r="M98">
        <f t="shared" si="1"/>
        <v>28.021509716600224</v>
      </c>
    </row>
    <row r="99" spans="1:13" x14ac:dyDescent="0.3">
      <c r="A99" t="s">
        <v>106</v>
      </c>
      <c r="B99" t="s">
        <v>760</v>
      </c>
      <c r="C99">
        <v>38.799999999999997</v>
      </c>
      <c r="D99">
        <v>9813027.90625</v>
      </c>
      <c r="E99">
        <v>8931745.9375</v>
      </c>
      <c r="F99">
        <v>9771851.4375</v>
      </c>
      <c r="G99">
        <v>9</v>
      </c>
      <c r="H99">
        <v>7</v>
      </c>
      <c r="I99">
        <v>7</v>
      </c>
      <c r="J99">
        <v>9.6727019498607234</v>
      </c>
      <c r="K99">
        <v>6.9553948758584259</v>
      </c>
      <c r="L99">
        <v>6.5843100484450696</v>
      </c>
      <c r="M99">
        <f t="shared" si="1"/>
        <v>7.7374689580547384</v>
      </c>
    </row>
    <row r="100" spans="1:13" x14ac:dyDescent="0.3">
      <c r="A100" t="s">
        <v>107</v>
      </c>
      <c r="B100" t="s">
        <v>761</v>
      </c>
      <c r="C100">
        <v>47.5</v>
      </c>
      <c r="D100">
        <v>129855545.828125</v>
      </c>
      <c r="E100">
        <v>158935566.1875</v>
      </c>
      <c r="F100">
        <v>213149230.5</v>
      </c>
      <c r="G100">
        <v>34</v>
      </c>
      <c r="H100">
        <v>33</v>
      </c>
      <c r="I100">
        <v>37</v>
      </c>
      <c r="J100">
        <v>36.541318477251622</v>
      </c>
      <c r="K100">
        <v>32.789718700475433</v>
      </c>
      <c r="L100">
        <v>34.802781684638227</v>
      </c>
      <c r="M100">
        <f t="shared" si="1"/>
        <v>34.71127295412176</v>
      </c>
    </row>
    <row r="101" spans="1:13" x14ac:dyDescent="0.3">
      <c r="A101" t="s">
        <v>108</v>
      </c>
      <c r="B101" t="s">
        <v>762</v>
      </c>
      <c r="C101">
        <v>25.1</v>
      </c>
      <c r="D101">
        <v>20262831</v>
      </c>
      <c r="E101">
        <v>18830394.25</v>
      </c>
      <c r="F101">
        <v>21088153.5</v>
      </c>
      <c r="G101">
        <v>18</v>
      </c>
      <c r="H101">
        <v>16</v>
      </c>
      <c r="I101">
        <v>18</v>
      </c>
      <c r="J101">
        <v>19.34540389972145</v>
      </c>
      <c r="K101">
        <v>15.898045430533539</v>
      </c>
      <c r="L101">
        <v>16.931082981715889</v>
      </c>
      <c r="M101">
        <f t="shared" si="1"/>
        <v>17.391510770656961</v>
      </c>
    </row>
    <row r="102" spans="1:13" x14ac:dyDescent="0.3">
      <c r="A102" t="s">
        <v>109</v>
      </c>
      <c r="B102" t="s">
        <v>685</v>
      </c>
      <c r="C102">
        <v>53.8</v>
      </c>
      <c r="D102">
        <v>3555180.625</v>
      </c>
      <c r="E102">
        <v>4128194.5</v>
      </c>
      <c r="F102">
        <v>3210500.96875</v>
      </c>
      <c r="G102">
        <v>4</v>
      </c>
      <c r="H102">
        <v>4</v>
      </c>
      <c r="I102">
        <v>5</v>
      </c>
      <c r="J102">
        <v>4.2989786443825437</v>
      </c>
      <c r="K102">
        <v>3.9745113576333861</v>
      </c>
      <c r="L102">
        <v>4.7030786060321921</v>
      </c>
      <c r="M102">
        <f t="shared" si="1"/>
        <v>4.3255228693493741</v>
      </c>
    </row>
    <row r="103" spans="1:13" x14ac:dyDescent="0.3">
      <c r="A103" t="s">
        <v>110</v>
      </c>
      <c r="B103" t="s">
        <v>685</v>
      </c>
      <c r="C103">
        <v>193.1</v>
      </c>
      <c r="D103">
        <v>25847924.925781298</v>
      </c>
      <c r="E103">
        <v>30142945.375</v>
      </c>
      <c r="F103">
        <v>30294688.6875</v>
      </c>
      <c r="G103">
        <v>94</v>
      </c>
      <c r="H103">
        <v>102</v>
      </c>
      <c r="I103">
        <v>100</v>
      </c>
      <c r="J103">
        <v>101.02599814298981</v>
      </c>
      <c r="K103">
        <v>101.3500396196514</v>
      </c>
      <c r="L103">
        <v>94.061572120643859</v>
      </c>
      <c r="M103">
        <f t="shared" si="1"/>
        <v>98.812536627761688</v>
      </c>
    </row>
    <row r="104" spans="1:13" x14ac:dyDescent="0.3">
      <c r="A104" t="s">
        <v>111</v>
      </c>
      <c r="B104" t="s">
        <v>685</v>
      </c>
      <c r="C104">
        <v>56.5</v>
      </c>
      <c r="D104">
        <v>12484790.0429688</v>
      </c>
      <c r="E104">
        <v>18326959</v>
      </c>
      <c r="F104">
        <v>24996067.0625</v>
      </c>
      <c r="G104">
        <v>14</v>
      </c>
      <c r="H104">
        <v>15</v>
      </c>
      <c r="I104">
        <v>17</v>
      </c>
      <c r="J104">
        <v>15.0464252553389</v>
      </c>
      <c r="K104">
        <v>14.904417591125201</v>
      </c>
      <c r="L104">
        <v>15.990467260509449</v>
      </c>
      <c r="M104">
        <f t="shared" si="1"/>
        <v>15.313770035657848</v>
      </c>
    </row>
    <row r="105" spans="1:13" x14ac:dyDescent="0.3">
      <c r="A105" t="s">
        <v>112</v>
      </c>
      <c r="B105" t="s">
        <v>685</v>
      </c>
      <c r="C105">
        <v>19.899999999999999</v>
      </c>
      <c r="D105">
        <v>3612769.375</v>
      </c>
      <c r="E105">
        <v>5210127.125</v>
      </c>
      <c r="F105">
        <v>9506130.875</v>
      </c>
      <c r="G105">
        <v>8</v>
      </c>
      <c r="H105">
        <v>5</v>
      </c>
      <c r="I105">
        <v>6</v>
      </c>
      <c r="J105">
        <v>8.5979572887650875</v>
      </c>
      <c r="K105">
        <v>4.968139197041733</v>
      </c>
      <c r="L105">
        <v>5.6436943272386308</v>
      </c>
      <c r="M105">
        <f t="shared" si="1"/>
        <v>6.4032636043484841</v>
      </c>
    </row>
    <row r="106" spans="1:13" x14ac:dyDescent="0.3">
      <c r="A106" t="s">
        <v>113</v>
      </c>
      <c r="B106" t="s">
        <v>685</v>
      </c>
      <c r="C106">
        <v>20.8</v>
      </c>
      <c r="D106">
        <v>988599.6875</v>
      </c>
      <c r="E106">
        <v>0</v>
      </c>
      <c r="F106">
        <v>0</v>
      </c>
      <c r="G106">
        <v>3</v>
      </c>
      <c r="J106">
        <v>3.2242339832869078</v>
      </c>
      <c r="K106" t="s">
        <v>1184</v>
      </c>
      <c r="L106" t="s">
        <v>1184</v>
      </c>
      <c r="M106">
        <f t="shared" si="1"/>
        <v>3.2242339832869078</v>
      </c>
    </row>
    <row r="107" spans="1:13" x14ac:dyDescent="0.3">
      <c r="A107" t="s">
        <v>114</v>
      </c>
      <c r="B107" t="s">
        <v>685</v>
      </c>
      <c r="C107">
        <v>37.799999999999997</v>
      </c>
      <c r="D107">
        <v>16856299.8125</v>
      </c>
      <c r="E107">
        <v>21097077.15625</v>
      </c>
      <c r="F107">
        <v>31204363.625</v>
      </c>
      <c r="G107">
        <v>13</v>
      </c>
      <c r="H107">
        <v>13</v>
      </c>
      <c r="I107">
        <v>14</v>
      </c>
      <c r="J107">
        <v>13.971680594243271</v>
      </c>
      <c r="K107">
        <v>12.917161912308501</v>
      </c>
      <c r="L107">
        <v>13.168620096890139</v>
      </c>
      <c r="M107">
        <f t="shared" si="1"/>
        <v>13.352487534480638</v>
      </c>
    </row>
    <row r="108" spans="1:13" x14ac:dyDescent="0.3">
      <c r="A108" t="s">
        <v>115</v>
      </c>
      <c r="B108" t="s">
        <v>685</v>
      </c>
      <c r="C108">
        <v>66.099999999999994</v>
      </c>
      <c r="D108">
        <v>1360675.125</v>
      </c>
      <c r="E108">
        <v>0</v>
      </c>
      <c r="F108">
        <v>0</v>
      </c>
      <c r="G108">
        <v>3</v>
      </c>
      <c r="J108">
        <v>3.2242339832869078</v>
      </c>
      <c r="K108" t="s">
        <v>1184</v>
      </c>
      <c r="L108" t="s">
        <v>1184</v>
      </c>
      <c r="M108">
        <f t="shared" si="1"/>
        <v>3.2242339832869078</v>
      </c>
    </row>
    <row r="109" spans="1:13" x14ac:dyDescent="0.3">
      <c r="A109" t="s">
        <v>116</v>
      </c>
      <c r="B109" t="s">
        <v>685</v>
      </c>
      <c r="C109">
        <v>67.8</v>
      </c>
      <c r="D109">
        <v>608153.375</v>
      </c>
      <c r="E109">
        <v>2745432.0625</v>
      </c>
      <c r="F109">
        <v>4127152.1875</v>
      </c>
      <c r="G109">
        <v>2</v>
      </c>
      <c r="H109">
        <v>5</v>
      </c>
      <c r="I109">
        <v>6</v>
      </c>
      <c r="J109">
        <v>2.1494893221912719</v>
      </c>
      <c r="K109">
        <v>4.968139197041733</v>
      </c>
      <c r="L109">
        <v>5.6436943272386308</v>
      </c>
      <c r="M109">
        <f t="shared" si="1"/>
        <v>4.2537742821572122</v>
      </c>
    </row>
    <row r="110" spans="1:13" x14ac:dyDescent="0.3">
      <c r="A110" t="s">
        <v>117</v>
      </c>
      <c r="B110" t="s">
        <v>685</v>
      </c>
      <c r="C110">
        <v>42.2</v>
      </c>
      <c r="D110">
        <v>27456488.0625</v>
      </c>
      <c r="E110">
        <v>36794660.6875</v>
      </c>
      <c r="F110">
        <v>46599641.25</v>
      </c>
      <c r="G110">
        <v>28</v>
      </c>
      <c r="H110">
        <v>29</v>
      </c>
      <c r="I110">
        <v>28</v>
      </c>
      <c r="J110">
        <v>30.09285051067781</v>
      </c>
      <c r="K110">
        <v>28.815207342842051</v>
      </c>
      <c r="L110">
        <v>26.337240193780278</v>
      </c>
      <c r="M110">
        <f t="shared" si="1"/>
        <v>28.415099349100046</v>
      </c>
    </row>
    <row r="111" spans="1:13" x14ac:dyDescent="0.3">
      <c r="A111" t="s">
        <v>118</v>
      </c>
      <c r="B111" t="s">
        <v>763</v>
      </c>
      <c r="C111">
        <v>18</v>
      </c>
      <c r="D111">
        <v>8167844</v>
      </c>
      <c r="E111">
        <v>0</v>
      </c>
      <c r="F111">
        <v>7561824.875</v>
      </c>
      <c r="G111">
        <v>4</v>
      </c>
      <c r="I111">
        <v>4</v>
      </c>
      <c r="J111">
        <v>4.2989786443825437</v>
      </c>
      <c r="K111" t="s">
        <v>1184</v>
      </c>
      <c r="L111">
        <v>3.7624628848257542</v>
      </c>
      <c r="M111">
        <f t="shared" si="1"/>
        <v>4.0307207646041494</v>
      </c>
    </row>
    <row r="112" spans="1:13" x14ac:dyDescent="0.3">
      <c r="A112" t="s">
        <v>119</v>
      </c>
      <c r="B112" t="s">
        <v>685</v>
      </c>
      <c r="C112">
        <v>15.6</v>
      </c>
      <c r="D112">
        <v>5729774.625</v>
      </c>
      <c r="E112">
        <v>9874796.5</v>
      </c>
      <c r="F112">
        <v>11456028.25</v>
      </c>
      <c r="G112">
        <v>10</v>
      </c>
      <c r="H112">
        <v>11</v>
      </c>
      <c r="I112">
        <v>12</v>
      </c>
      <c r="J112">
        <v>10.747446610956359</v>
      </c>
      <c r="K112">
        <v>10.92990623349181</v>
      </c>
      <c r="L112">
        <v>11.28738865447726</v>
      </c>
      <c r="M112">
        <f t="shared" si="1"/>
        <v>10.988247166308476</v>
      </c>
    </row>
    <row r="113" spans="1:13" x14ac:dyDescent="0.3">
      <c r="A113" t="s">
        <v>120</v>
      </c>
      <c r="B113" t="s">
        <v>764</v>
      </c>
      <c r="C113">
        <v>54.3</v>
      </c>
      <c r="D113">
        <v>1589846.125</v>
      </c>
      <c r="E113">
        <v>2527073.625</v>
      </c>
      <c r="F113">
        <v>2044480.5</v>
      </c>
      <c r="G113">
        <v>15</v>
      </c>
      <c r="H113">
        <v>14</v>
      </c>
      <c r="I113">
        <v>17</v>
      </c>
      <c r="J113">
        <v>16.121169916434539</v>
      </c>
      <c r="K113">
        <v>13.91078975171685</v>
      </c>
      <c r="L113">
        <v>15.990467260509449</v>
      </c>
      <c r="M113">
        <f t="shared" si="1"/>
        <v>15.340808976220279</v>
      </c>
    </row>
    <row r="114" spans="1:13" x14ac:dyDescent="0.3">
      <c r="A114" t="s">
        <v>121</v>
      </c>
      <c r="B114" t="s">
        <v>765</v>
      </c>
      <c r="C114">
        <v>22.1</v>
      </c>
      <c r="D114">
        <v>2262970.5</v>
      </c>
      <c r="E114">
        <v>0</v>
      </c>
      <c r="F114">
        <v>3515998</v>
      </c>
      <c r="G114">
        <v>2</v>
      </c>
      <c r="I114">
        <v>2</v>
      </c>
      <c r="J114">
        <v>2.1494893221912719</v>
      </c>
      <c r="K114" t="s">
        <v>1184</v>
      </c>
      <c r="L114">
        <v>1.8812314424128771</v>
      </c>
      <c r="M114">
        <f t="shared" si="1"/>
        <v>2.0153603823020747</v>
      </c>
    </row>
    <row r="115" spans="1:13" x14ac:dyDescent="0.3">
      <c r="A115" t="s">
        <v>122</v>
      </c>
      <c r="B115" t="s">
        <v>685</v>
      </c>
      <c r="C115">
        <v>21.4</v>
      </c>
      <c r="D115">
        <v>10229798.875</v>
      </c>
      <c r="E115">
        <v>11807907.3125</v>
      </c>
      <c r="F115">
        <v>16870523.5</v>
      </c>
      <c r="G115">
        <v>11</v>
      </c>
      <c r="H115">
        <v>11</v>
      </c>
      <c r="I115">
        <v>12</v>
      </c>
      <c r="J115">
        <v>11.822191272052001</v>
      </c>
      <c r="K115">
        <v>10.92990623349181</v>
      </c>
      <c r="L115">
        <v>11.28738865447726</v>
      </c>
      <c r="M115">
        <f t="shared" si="1"/>
        <v>11.34649538667369</v>
      </c>
    </row>
    <row r="116" spans="1:13" x14ac:dyDescent="0.3">
      <c r="A116" t="s">
        <v>123</v>
      </c>
      <c r="B116" t="s">
        <v>685</v>
      </c>
      <c r="C116">
        <v>28.6</v>
      </c>
      <c r="D116">
        <v>5500947</v>
      </c>
      <c r="E116">
        <v>6031864</v>
      </c>
      <c r="F116">
        <v>4766064</v>
      </c>
      <c r="G116">
        <v>6</v>
      </c>
      <c r="H116">
        <v>6</v>
      </c>
      <c r="I116">
        <v>6</v>
      </c>
      <c r="J116">
        <v>6.4484679665738156</v>
      </c>
      <c r="K116">
        <v>5.9617670364500794</v>
      </c>
      <c r="L116">
        <v>5.6436943272386308</v>
      </c>
      <c r="M116">
        <f t="shared" si="1"/>
        <v>6.0179764434208423</v>
      </c>
    </row>
    <row r="117" spans="1:13" x14ac:dyDescent="0.3">
      <c r="A117" t="s">
        <v>124</v>
      </c>
      <c r="B117" t="s">
        <v>766</v>
      </c>
      <c r="C117">
        <v>10.199999999999999</v>
      </c>
      <c r="D117">
        <v>5927279.125</v>
      </c>
      <c r="E117">
        <v>7164277</v>
      </c>
      <c r="F117">
        <v>7884401.5625</v>
      </c>
      <c r="G117">
        <v>7</v>
      </c>
      <c r="H117">
        <v>8</v>
      </c>
      <c r="I117">
        <v>9</v>
      </c>
      <c r="J117">
        <v>7.5232126276694524</v>
      </c>
      <c r="K117">
        <v>7.9490227152667723</v>
      </c>
      <c r="L117">
        <v>8.4655414908579463</v>
      </c>
      <c r="M117">
        <f t="shared" si="1"/>
        <v>7.9792589445980573</v>
      </c>
    </row>
    <row r="118" spans="1:13" x14ac:dyDescent="0.3">
      <c r="A118" t="s">
        <v>125</v>
      </c>
      <c r="B118" t="s">
        <v>767</v>
      </c>
      <c r="C118">
        <v>85.3</v>
      </c>
      <c r="D118">
        <v>3766129.75</v>
      </c>
      <c r="E118">
        <v>4554807</v>
      </c>
      <c r="F118">
        <v>6346161</v>
      </c>
      <c r="G118">
        <v>5</v>
      </c>
      <c r="H118">
        <v>6</v>
      </c>
      <c r="I118">
        <v>4</v>
      </c>
      <c r="J118">
        <v>5.3737233054781806</v>
      </c>
      <c r="K118">
        <v>5.9617670364500794</v>
      </c>
      <c r="L118">
        <v>3.7624628848257542</v>
      </c>
      <c r="M118">
        <f t="shared" si="1"/>
        <v>5.0326510755846714</v>
      </c>
    </row>
    <row r="119" spans="1:13" x14ac:dyDescent="0.3">
      <c r="A119" t="s">
        <v>126</v>
      </c>
      <c r="B119" t="s">
        <v>768</v>
      </c>
      <c r="C119">
        <v>38.4</v>
      </c>
      <c r="D119">
        <v>4222756.125</v>
      </c>
      <c r="E119">
        <v>5197864.6875</v>
      </c>
      <c r="F119">
        <v>7744016.6875</v>
      </c>
      <c r="G119">
        <v>12</v>
      </c>
      <c r="H119">
        <v>11</v>
      </c>
      <c r="I119">
        <v>13</v>
      </c>
      <c r="J119">
        <v>12.896935933147629</v>
      </c>
      <c r="K119">
        <v>10.92990623349181</v>
      </c>
      <c r="L119">
        <v>12.2280043756837</v>
      </c>
      <c r="M119">
        <f t="shared" si="1"/>
        <v>12.018282180774378</v>
      </c>
    </row>
    <row r="120" spans="1:13" x14ac:dyDescent="0.3">
      <c r="A120" t="s">
        <v>127</v>
      </c>
      <c r="B120" t="s">
        <v>685</v>
      </c>
      <c r="C120">
        <v>18.2</v>
      </c>
      <c r="D120">
        <v>11502888.1328125</v>
      </c>
      <c r="E120">
        <v>16780784.75</v>
      </c>
      <c r="F120">
        <v>15291869.5</v>
      </c>
      <c r="G120">
        <v>10</v>
      </c>
      <c r="H120">
        <v>12</v>
      </c>
      <c r="I120">
        <v>11</v>
      </c>
      <c r="J120">
        <v>10.747446610956359</v>
      </c>
      <c r="K120">
        <v>11.923534072900161</v>
      </c>
      <c r="L120">
        <v>10.34677293327082</v>
      </c>
      <c r="M120">
        <f t="shared" si="1"/>
        <v>11.005917872375781</v>
      </c>
    </row>
    <row r="121" spans="1:13" x14ac:dyDescent="0.3">
      <c r="A121" t="s">
        <v>128</v>
      </c>
      <c r="B121" t="s">
        <v>769</v>
      </c>
      <c r="C121">
        <v>12</v>
      </c>
      <c r="D121">
        <v>5211948.5</v>
      </c>
      <c r="E121">
        <v>13174245</v>
      </c>
      <c r="F121">
        <v>10863860</v>
      </c>
      <c r="G121">
        <v>2</v>
      </c>
      <c r="H121">
        <v>3</v>
      </c>
      <c r="I121">
        <v>4</v>
      </c>
      <c r="J121">
        <v>2.1494893221912719</v>
      </c>
      <c r="K121">
        <v>2.9808835182250402</v>
      </c>
      <c r="L121">
        <v>3.7624628848257542</v>
      </c>
      <c r="M121">
        <f t="shared" si="1"/>
        <v>2.9642785750806886</v>
      </c>
    </row>
    <row r="122" spans="1:13" x14ac:dyDescent="0.3">
      <c r="A122" t="s">
        <v>129</v>
      </c>
      <c r="B122" t="s">
        <v>770</v>
      </c>
      <c r="C122">
        <v>14.1</v>
      </c>
      <c r="D122">
        <v>8494802.0625</v>
      </c>
      <c r="E122">
        <v>15979232.625</v>
      </c>
      <c r="F122">
        <v>20429061.3125</v>
      </c>
      <c r="G122">
        <v>7</v>
      </c>
      <c r="H122">
        <v>8</v>
      </c>
      <c r="I122">
        <v>9</v>
      </c>
      <c r="J122">
        <v>7.5232126276694524</v>
      </c>
      <c r="K122">
        <v>7.9490227152667723</v>
      </c>
      <c r="L122">
        <v>8.4655414908579463</v>
      </c>
      <c r="M122">
        <f t="shared" si="1"/>
        <v>7.9792589445980573</v>
      </c>
    </row>
    <row r="123" spans="1:13" x14ac:dyDescent="0.3">
      <c r="A123" t="s">
        <v>130</v>
      </c>
      <c r="B123" t="s">
        <v>771</v>
      </c>
      <c r="C123">
        <v>30.3</v>
      </c>
      <c r="D123">
        <v>25937302.1875</v>
      </c>
      <c r="E123">
        <v>25791477.9375</v>
      </c>
      <c r="F123">
        <v>28830847.25</v>
      </c>
      <c r="G123">
        <v>23</v>
      </c>
      <c r="H123">
        <v>22</v>
      </c>
      <c r="I123">
        <v>21</v>
      </c>
      <c r="J123">
        <v>24.71912720519963</v>
      </c>
      <c r="K123">
        <v>21.85981246698362</v>
      </c>
      <c r="L123">
        <v>19.75293014533521</v>
      </c>
      <c r="M123">
        <f t="shared" si="1"/>
        <v>22.110623272506157</v>
      </c>
    </row>
    <row r="124" spans="1:13" x14ac:dyDescent="0.3">
      <c r="A124" t="s">
        <v>131</v>
      </c>
      <c r="B124" t="s">
        <v>772</v>
      </c>
      <c r="C124">
        <v>78.400000000000006</v>
      </c>
      <c r="D124">
        <v>2579243.4375</v>
      </c>
      <c r="E124">
        <v>1401980.5625</v>
      </c>
      <c r="F124">
        <v>3818737.6875</v>
      </c>
      <c r="G124">
        <v>5</v>
      </c>
      <c r="H124">
        <v>2</v>
      </c>
      <c r="I124">
        <v>6</v>
      </c>
      <c r="J124">
        <v>5.3737233054781806</v>
      </c>
      <c r="K124">
        <v>1.9872556788166931</v>
      </c>
      <c r="L124">
        <v>5.6436943272386308</v>
      </c>
      <c r="M124">
        <f t="shared" si="1"/>
        <v>4.3348911038445017</v>
      </c>
    </row>
    <row r="125" spans="1:13" x14ac:dyDescent="0.3">
      <c r="A125" t="s">
        <v>132</v>
      </c>
      <c r="B125" t="s">
        <v>773</v>
      </c>
      <c r="C125">
        <v>6.7</v>
      </c>
      <c r="D125">
        <v>990478.4375</v>
      </c>
      <c r="E125">
        <v>948800.8125</v>
      </c>
      <c r="F125">
        <v>1085492.5</v>
      </c>
      <c r="G125">
        <v>3</v>
      </c>
      <c r="H125">
        <v>4</v>
      </c>
      <c r="I125">
        <v>3</v>
      </c>
      <c r="J125">
        <v>3.2242339832869078</v>
      </c>
      <c r="K125">
        <v>3.9745113576333861</v>
      </c>
      <c r="L125">
        <v>2.821847163619315</v>
      </c>
      <c r="M125">
        <f t="shared" si="1"/>
        <v>3.3401975015132028</v>
      </c>
    </row>
    <row r="126" spans="1:13" x14ac:dyDescent="0.3">
      <c r="A126" t="s">
        <v>133</v>
      </c>
      <c r="B126" t="s">
        <v>774</v>
      </c>
      <c r="C126">
        <v>18.399999999999999</v>
      </c>
      <c r="D126">
        <v>1732715.625</v>
      </c>
      <c r="E126">
        <v>2536438.375</v>
      </c>
      <c r="F126">
        <v>2450824.375</v>
      </c>
      <c r="G126">
        <v>4</v>
      </c>
      <c r="H126">
        <v>4</v>
      </c>
      <c r="I126">
        <v>3</v>
      </c>
      <c r="J126">
        <v>4.2989786443825437</v>
      </c>
      <c r="K126">
        <v>3.9745113576333861</v>
      </c>
      <c r="L126">
        <v>2.821847163619315</v>
      </c>
      <c r="M126">
        <f t="shared" si="1"/>
        <v>3.6984457218784148</v>
      </c>
    </row>
    <row r="127" spans="1:13" x14ac:dyDescent="0.3">
      <c r="A127" t="s">
        <v>134</v>
      </c>
      <c r="B127" t="s">
        <v>775</v>
      </c>
      <c r="C127">
        <v>21.3</v>
      </c>
      <c r="D127">
        <v>9902066.125</v>
      </c>
      <c r="E127">
        <v>13124262.4375</v>
      </c>
      <c r="F127">
        <v>14920252</v>
      </c>
      <c r="G127">
        <v>12</v>
      </c>
      <c r="H127">
        <v>14</v>
      </c>
      <c r="I127">
        <v>14</v>
      </c>
      <c r="J127">
        <v>12.896935933147629</v>
      </c>
      <c r="K127">
        <v>13.91078975171685</v>
      </c>
      <c r="L127">
        <v>13.168620096890139</v>
      </c>
      <c r="M127">
        <f t="shared" si="1"/>
        <v>13.325448593918205</v>
      </c>
    </row>
    <row r="128" spans="1:13" x14ac:dyDescent="0.3">
      <c r="A128" t="s">
        <v>135</v>
      </c>
      <c r="B128" t="s">
        <v>776</v>
      </c>
      <c r="C128">
        <v>41.5</v>
      </c>
      <c r="D128">
        <v>2454161.0390625</v>
      </c>
      <c r="E128">
        <v>6681756.6875</v>
      </c>
      <c r="F128">
        <v>2007733.5625</v>
      </c>
      <c r="G128">
        <v>4</v>
      </c>
      <c r="H128">
        <v>6</v>
      </c>
      <c r="I128">
        <v>4</v>
      </c>
      <c r="J128">
        <v>4.2989786443825437</v>
      </c>
      <c r="K128">
        <v>5.9617670364500794</v>
      </c>
      <c r="L128">
        <v>3.7624628848257542</v>
      </c>
      <c r="M128">
        <f t="shared" si="1"/>
        <v>4.6744028552194594</v>
      </c>
    </row>
    <row r="129" spans="1:13" x14ac:dyDescent="0.3">
      <c r="A129" t="s">
        <v>136</v>
      </c>
      <c r="B129" t="s">
        <v>685</v>
      </c>
      <c r="C129">
        <v>48</v>
      </c>
      <c r="D129">
        <v>64843050.6875</v>
      </c>
      <c r="E129">
        <v>65094493.875</v>
      </c>
      <c r="F129">
        <v>98562054.75</v>
      </c>
      <c r="G129">
        <v>61</v>
      </c>
      <c r="H129">
        <v>51</v>
      </c>
      <c r="I129">
        <v>59</v>
      </c>
      <c r="J129">
        <v>65.559424326833792</v>
      </c>
      <c r="K129">
        <v>50.675019809825677</v>
      </c>
      <c r="L129">
        <v>55.496327551179867</v>
      </c>
      <c r="M129">
        <f t="shared" si="1"/>
        <v>57.243590562613115</v>
      </c>
    </row>
    <row r="130" spans="1:13" x14ac:dyDescent="0.3">
      <c r="A130" t="s">
        <v>137</v>
      </c>
      <c r="B130" t="s">
        <v>777</v>
      </c>
      <c r="C130">
        <v>29.9</v>
      </c>
      <c r="D130">
        <v>3276317.0625</v>
      </c>
      <c r="E130">
        <v>5038903</v>
      </c>
      <c r="F130">
        <v>5032634.5</v>
      </c>
      <c r="G130">
        <v>19</v>
      </c>
      <c r="H130">
        <v>19</v>
      </c>
      <c r="I130">
        <v>20</v>
      </c>
      <c r="J130">
        <v>20.420148560817079</v>
      </c>
      <c r="K130">
        <v>18.878928948758581</v>
      </c>
      <c r="L130">
        <v>18.812314424128768</v>
      </c>
      <c r="M130">
        <f t="shared" si="1"/>
        <v>19.370463977901476</v>
      </c>
    </row>
    <row r="131" spans="1:13" x14ac:dyDescent="0.3">
      <c r="A131" t="s">
        <v>138</v>
      </c>
      <c r="B131" t="s">
        <v>778</v>
      </c>
      <c r="C131">
        <v>30.6</v>
      </c>
      <c r="D131">
        <v>9980901</v>
      </c>
      <c r="E131">
        <v>11732073.25</v>
      </c>
      <c r="F131">
        <v>13042349</v>
      </c>
      <c r="G131">
        <v>10</v>
      </c>
      <c r="H131">
        <v>10</v>
      </c>
      <c r="I131">
        <v>10</v>
      </c>
      <c r="J131">
        <v>10.747446610956359</v>
      </c>
      <c r="K131">
        <v>9.936278394083466</v>
      </c>
      <c r="L131">
        <v>9.4061572120643842</v>
      </c>
      <c r="M131">
        <f t="shared" si="1"/>
        <v>10.029960739034737</v>
      </c>
    </row>
    <row r="132" spans="1:13" x14ac:dyDescent="0.3">
      <c r="A132" t="s">
        <v>139</v>
      </c>
      <c r="B132" t="s">
        <v>779</v>
      </c>
      <c r="C132">
        <v>27</v>
      </c>
      <c r="D132">
        <v>3619661.765625</v>
      </c>
      <c r="E132">
        <v>3679522</v>
      </c>
      <c r="F132">
        <v>6119494</v>
      </c>
      <c r="G132">
        <v>11</v>
      </c>
      <c r="H132">
        <v>8</v>
      </c>
      <c r="I132">
        <v>14</v>
      </c>
      <c r="J132">
        <v>11.822191272052001</v>
      </c>
      <c r="K132">
        <v>7.9490227152667723</v>
      </c>
      <c r="L132">
        <v>13.168620096890139</v>
      </c>
      <c r="M132">
        <f t="shared" ref="M132:M195" si="2">AVERAGE(J132:L132)</f>
        <v>10.979944694736304</v>
      </c>
    </row>
    <row r="133" spans="1:13" x14ac:dyDescent="0.3">
      <c r="A133" t="s">
        <v>140</v>
      </c>
      <c r="B133" t="s">
        <v>780</v>
      </c>
      <c r="C133">
        <v>12.2</v>
      </c>
      <c r="D133">
        <v>6264476.375</v>
      </c>
      <c r="E133">
        <v>7299314</v>
      </c>
      <c r="F133">
        <v>9669121.375</v>
      </c>
      <c r="G133">
        <v>5</v>
      </c>
      <c r="H133">
        <v>6</v>
      </c>
      <c r="I133">
        <v>6</v>
      </c>
      <c r="J133">
        <v>5.3737233054781806</v>
      </c>
      <c r="K133">
        <v>5.9617670364500794</v>
      </c>
      <c r="L133">
        <v>5.6436943272386308</v>
      </c>
      <c r="M133">
        <f t="shared" si="2"/>
        <v>5.6597282230556303</v>
      </c>
    </row>
    <row r="134" spans="1:13" x14ac:dyDescent="0.3">
      <c r="A134" t="s">
        <v>141</v>
      </c>
      <c r="B134" t="s">
        <v>781</v>
      </c>
      <c r="C134">
        <v>119.1</v>
      </c>
      <c r="D134">
        <v>39765828.375</v>
      </c>
      <c r="E134">
        <v>45230376.75</v>
      </c>
      <c r="F134">
        <v>67091200.09375</v>
      </c>
      <c r="G134">
        <v>26</v>
      </c>
      <c r="H134">
        <v>23</v>
      </c>
      <c r="I134">
        <v>30</v>
      </c>
      <c r="J134">
        <v>27.943361188486531</v>
      </c>
      <c r="K134">
        <v>22.85344030639197</v>
      </c>
      <c r="L134">
        <v>28.218471636193151</v>
      </c>
      <c r="M134">
        <f t="shared" si="2"/>
        <v>26.338424377023884</v>
      </c>
    </row>
    <row r="135" spans="1:13" x14ac:dyDescent="0.3">
      <c r="A135" t="s">
        <v>142</v>
      </c>
      <c r="B135" t="s">
        <v>782</v>
      </c>
      <c r="C135">
        <v>75.599999999999994</v>
      </c>
      <c r="D135">
        <v>4221539.6875</v>
      </c>
      <c r="E135">
        <v>4319818.125</v>
      </c>
      <c r="F135">
        <v>10286186</v>
      </c>
      <c r="G135">
        <v>5</v>
      </c>
      <c r="H135">
        <v>5</v>
      </c>
      <c r="I135">
        <v>12</v>
      </c>
      <c r="J135">
        <v>5.3737233054781806</v>
      </c>
      <c r="K135">
        <v>4.968139197041733</v>
      </c>
      <c r="L135">
        <v>11.28738865447726</v>
      </c>
      <c r="M135">
        <f t="shared" si="2"/>
        <v>7.2097503856657239</v>
      </c>
    </row>
    <row r="136" spans="1:13" x14ac:dyDescent="0.3">
      <c r="A136" t="s">
        <v>143</v>
      </c>
      <c r="B136" t="s">
        <v>783</v>
      </c>
      <c r="C136">
        <v>14.3</v>
      </c>
      <c r="D136">
        <v>1418291.3125</v>
      </c>
      <c r="E136">
        <v>2023325.0625</v>
      </c>
      <c r="F136">
        <v>3304613</v>
      </c>
      <c r="G136">
        <v>3</v>
      </c>
      <c r="H136">
        <v>3</v>
      </c>
      <c r="I136">
        <v>4</v>
      </c>
      <c r="J136">
        <v>3.2242339832869078</v>
      </c>
      <c r="K136">
        <v>2.9808835182250402</v>
      </c>
      <c r="L136">
        <v>3.7624628848257542</v>
      </c>
      <c r="M136">
        <f t="shared" si="2"/>
        <v>3.3225267954459006</v>
      </c>
    </row>
    <row r="137" spans="1:13" x14ac:dyDescent="0.3">
      <c r="A137" t="s">
        <v>144</v>
      </c>
      <c r="B137" t="s">
        <v>784</v>
      </c>
      <c r="C137">
        <v>12.1</v>
      </c>
      <c r="D137">
        <v>7770195.875</v>
      </c>
      <c r="E137">
        <v>7787641.375</v>
      </c>
      <c r="F137">
        <v>11313281.75</v>
      </c>
      <c r="G137">
        <v>4</v>
      </c>
      <c r="H137">
        <v>4</v>
      </c>
      <c r="I137">
        <v>4</v>
      </c>
      <c r="J137">
        <v>4.2989786443825437</v>
      </c>
      <c r="K137">
        <v>3.9745113576333861</v>
      </c>
      <c r="L137">
        <v>3.7624628848257542</v>
      </c>
      <c r="M137">
        <f t="shared" si="2"/>
        <v>4.0119842956138951</v>
      </c>
    </row>
    <row r="138" spans="1:13" x14ac:dyDescent="0.3">
      <c r="A138" t="s">
        <v>145</v>
      </c>
      <c r="B138" t="s">
        <v>785</v>
      </c>
      <c r="C138">
        <v>64.8</v>
      </c>
      <c r="D138">
        <v>179219282.46875</v>
      </c>
      <c r="E138">
        <v>221579658</v>
      </c>
      <c r="F138">
        <v>258447698.4375</v>
      </c>
      <c r="G138">
        <v>66</v>
      </c>
      <c r="H138">
        <v>66</v>
      </c>
      <c r="I138">
        <v>70</v>
      </c>
      <c r="J138">
        <v>70.933147632311972</v>
      </c>
      <c r="K138">
        <v>65.579437400950866</v>
      </c>
      <c r="L138">
        <v>65.843100484450687</v>
      </c>
      <c r="M138">
        <f t="shared" si="2"/>
        <v>67.451895172571184</v>
      </c>
    </row>
    <row r="139" spans="1:13" x14ac:dyDescent="0.3">
      <c r="A139" t="s">
        <v>146</v>
      </c>
      <c r="B139" t="s">
        <v>685</v>
      </c>
      <c r="C139">
        <v>13.7</v>
      </c>
      <c r="D139">
        <v>6108826.75</v>
      </c>
      <c r="E139">
        <v>6780166.625</v>
      </c>
      <c r="F139">
        <v>6911701</v>
      </c>
      <c r="G139">
        <v>4</v>
      </c>
      <c r="H139">
        <v>5</v>
      </c>
      <c r="I139">
        <v>4</v>
      </c>
      <c r="J139">
        <v>4.2989786443825437</v>
      </c>
      <c r="K139">
        <v>4.968139197041733</v>
      </c>
      <c r="L139">
        <v>3.7624628848257542</v>
      </c>
      <c r="M139">
        <f t="shared" si="2"/>
        <v>4.3431935754166773</v>
      </c>
    </row>
    <row r="140" spans="1:13" x14ac:dyDescent="0.3">
      <c r="A140" t="s">
        <v>147</v>
      </c>
      <c r="B140" t="s">
        <v>786</v>
      </c>
      <c r="C140">
        <v>73.8</v>
      </c>
      <c r="D140">
        <v>3090557.453125</v>
      </c>
      <c r="E140">
        <v>3084219.6875</v>
      </c>
      <c r="F140">
        <v>4529989.5625</v>
      </c>
      <c r="G140">
        <v>6</v>
      </c>
      <c r="H140">
        <v>5</v>
      </c>
      <c r="I140">
        <v>5</v>
      </c>
      <c r="J140">
        <v>6.4484679665738156</v>
      </c>
      <c r="K140">
        <v>4.968139197041733</v>
      </c>
      <c r="L140">
        <v>4.7030786060321921</v>
      </c>
      <c r="M140">
        <f t="shared" si="2"/>
        <v>5.3732285898825802</v>
      </c>
    </row>
    <row r="141" spans="1:13" x14ac:dyDescent="0.3">
      <c r="A141" t="s">
        <v>148</v>
      </c>
      <c r="B141" t="s">
        <v>787</v>
      </c>
      <c r="C141">
        <v>16.899999999999999</v>
      </c>
      <c r="D141">
        <v>3337813.5</v>
      </c>
      <c r="E141">
        <v>5153086.875</v>
      </c>
      <c r="F141">
        <v>5054365.625</v>
      </c>
      <c r="G141">
        <v>3</v>
      </c>
      <c r="H141">
        <v>4</v>
      </c>
      <c r="I141">
        <v>4</v>
      </c>
      <c r="J141">
        <v>3.2242339832869078</v>
      </c>
      <c r="K141">
        <v>3.9745113576333861</v>
      </c>
      <c r="L141">
        <v>3.7624628848257542</v>
      </c>
      <c r="M141">
        <f t="shared" si="2"/>
        <v>3.6537360752486827</v>
      </c>
    </row>
    <row r="142" spans="1:13" x14ac:dyDescent="0.3">
      <c r="A142" t="s">
        <v>149</v>
      </c>
      <c r="B142" t="s">
        <v>788</v>
      </c>
      <c r="C142">
        <v>102.2</v>
      </c>
      <c r="D142">
        <v>2380021.25</v>
      </c>
      <c r="E142">
        <v>1206814.75</v>
      </c>
      <c r="F142">
        <v>2543169.75</v>
      </c>
      <c r="G142">
        <v>4</v>
      </c>
      <c r="H142">
        <v>4</v>
      </c>
      <c r="I142">
        <v>3</v>
      </c>
      <c r="J142">
        <v>4.2989786443825437</v>
      </c>
      <c r="K142">
        <v>3.9745113576333861</v>
      </c>
      <c r="L142">
        <v>2.821847163619315</v>
      </c>
      <c r="M142">
        <f t="shared" si="2"/>
        <v>3.6984457218784148</v>
      </c>
    </row>
    <row r="143" spans="1:13" x14ac:dyDescent="0.3">
      <c r="A143" t="s">
        <v>150</v>
      </c>
      <c r="B143" t="s">
        <v>789</v>
      </c>
      <c r="C143">
        <v>18.100000000000001</v>
      </c>
      <c r="D143">
        <v>3487446.6875</v>
      </c>
      <c r="E143">
        <v>3495458.5</v>
      </c>
      <c r="F143">
        <v>4301987.5</v>
      </c>
      <c r="G143">
        <v>7</v>
      </c>
      <c r="H143">
        <v>8</v>
      </c>
      <c r="I143">
        <v>7</v>
      </c>
      <c r="J143">
        <v>7.5232126276694524</v>
      </c>
      <c r="K143">
        <v>7.9490227152667723</v>
      </c>
      <c r="L143">
        <v>6.5843100484450696</v>
      </c>
      <c r="M143">
        <f t="shared" si="2"/>
        <v>7.3521817971270984</v>
      </c>
    </row>
    <row r="144" spans="1:13" x14ac:dyDescent="0.3">
      <c r="A144" t="s">
        <v>151</v>
      </c>
      <c r="B144" t="s">
        <v>790</v>
      </c>
      <c r="C144">
        <v>44.9</v>
      </c>
      <c r="D144">
        <v>7925629.125</v>
      </c>
      <c r="E144">
        <v>8319538.875</v>
      </c>
      <c r="F144">
        <v>12215964.5625</v>
      </c>
      <c r="G144">
        <v>11</v>
      </c>
      <c r="H144">
        <v>9</v>
      </c>
      <c r="I144">
        <v>11</v>
      </c>
      <c r="J144">
        <v>11.822191272052001</v>
      </c>
      <c r="K144">
        <v>8.9426505546751187</v>
      </c>
      <c r="L144">
        <v>10.34677293327082</v>
      </c>
      <c r="M144">
        <f t="shared" si="2"/>
        <v>10.370538253332647</v>
      </c>
    </row>
    <row r="145" spans="1:13" x14ac:dyDescent="0.3">
      <c r="A145" t="s">
        <v>152</v>
      </c>
      <c r="B145" t="s">
        <v>791</v>
      </c>
      <c r="C145">
        <v>45.6</v>
      </c>
      <c r="D145">
        <v>5350940</v>
      </c>
      <c r="E145">
        <v>5450957.625</v>
      </c>
      <c r="F145">
        <v>6629550</v>
      </c>
      <c r="G145">
        <v>8</v>
      </c>
      <c r="H145">
        <v>7</v>
      </c>
      <c r="I145">
        <v>7</v>
      </c>
      <c r="J145">
        <v>8.5979572887650875</v>
      </c>
      <c r="K145">
        <v>6.9553948758584259</v>
      </c>
      <c r="L145">
        <v>6.5843100484450696</v>
      </c>
      <c r="M145">
        <f t="shared" si="2"/>
        <v>7.3792207376895282</v>
      </c>
    </row>
    <row r="146" spans="1:13" x14ac:dyDescent="0.3">
      <c r="A146" t="s">
        <v>153</v>
      </c>
      <c r="B146" t="s">
        <v>792</v>
      </c>
      <c r="C146">
        <v>20.8</v>
      </c>
      <c r="D146">
        <v>43686683.6875</v>
      </c>
      <c r="E146">
        <v>1060817.875</v>
      </c>
      <c r="F146">
        <v>759389.8125</v>
      </c>
      <c r="G146">
        <v>15</v>
      </c>
      <c r="H146">
        <v>11</v>
      </c>
      <c r="I146">
        <v>13</v>
      </c>
      <c r="J146">
        <v>16.121169916434539</v>
      </c>
      <c r="K146">
        <v>10.92990623349181</v>
      </c>
      <c r="L146">
        <v>12.2280043756837</v>
      </c>
      <c r="M146">
        <f t="shared" si="2"/>
        <v>13.093026841870016</v>
      </c>
    </row>
    <row r="147" spans="1:13" x14ac:dyDescent="0.3">
      <c r="A147" t="s">
        <v>154</v>
      </c>
      <c r="B147" t="s">
        <v>793</v>
      </c>
      <c r="C147">
        <v>16.2</v>
      </c>
      <c r="D147">
        <v>4018662.8125</v>
      </c>
      <c r="E147">
        <v>10181653.875</v>
      </c>
      <c r="F147">
        <v>3915837.375</v>
      </c>
      <c r="G147">
        <v>6</v>
      </c>
      <c r="H147">
        <v>7</v>
      </c>
      <c r="I147">
        <v>6</v>
      </c>
      <c r="J147">
        <v>6.4484679665738156</v>
      </c>
      <c r="K147">
        <v>6.9553948758584259</v>
      </c>
      <c r="L147">
        <v>5.6436943272386308</v>
      </c>
      <c r="M147">
        <f t="shared" si="2"/>
        <v>6.3491857232236244</v>
      </c>
    </row>
    <row r="148" spans="1:13" x14ac:dyDescent="0.3">
      <c r="A148" t="s">
        <v>155</v>
      </c>
      <c r="B148" t="s">
        <v>794</v>
      </c>
      <c r="C148">
        <v>43.2</v>
      </c>
      <c r="D148">
        <v>1230106.0625</v>
      </c>
      <c r="E148">
        <v>1236910.375</v>
      </c>
      <c r="F148">
        <v>2799370.4375</v>
      </c>
      <c r="G148">
        <v>2</v>
      </c>
      <c r="H148">
        <v>3</v>
      </c>
      <c r="I148">
        <v>4</v>
      </c>
      <c r="J148">
        <v>2.1494893221912719</v>
      </c>
      <c r="K148">
        <v>2.9808835182250402</v>
      </c>
      <c r="L148">
        <v>3.7624628848257542</v>
      </c>
      <c r="M148">
        <f t="shared" si="2"/>
        <v>2.9642785750806886</v>
      </c>
    </row>
    <row r="149" spans="1:13" x14ac:dyDescent="0.3">
      <c r="A149" t="s">
        <v>156</v>
      </c>
      <c r="B149" t="s">
        <v>795</v>
      </c>
      <c r="C149">
        <v>70.7</v>
      </c>
      <c r="D149">
        <v>1786681.375</v>
      </c>
      <c r="E149">
        <v>1190293.125</v>
      </c>
      <c r="F149">
        <v>4349997.375</v>
      </c>
      <c r="G149">
        <v>50</v>
      </c>
      <c r="H149">
        <v>50</v>
      </c>
      <c r="I149">
        <v>59</v>
      </c>
      <c r="J149">
        <v>53.737233054781797</v>
      </c>
      <c r="K149">
        <v>49.681391970417323</v>
      </c>
      <c r="L149">
        <v>55.496327551179867</v>
      </c>
      <c r="M149">
        <f t="shared" si="2"/>
        <v>52.971650858792998</v>
      </c>
    </row>
    <row r="150" spans="1:13" x14ac:dyDescent="0.3">
      <c r="A150" t="s">
        <v>157</v>
      </c>
      <c r="B150" t="s">
        <v>796</v>
      </c>
      <c r="C150">
        <v>43</v>
      </c>
      <c r="D150">
        <v>3194203.59375</v>
      </c>
      <c r="E150">
        <v>3233731.53125</v>
      </c>
      <c r="F150">
        <v>6404231.6875</v>
      </c>
      <c r="G150">
        <v>6</v>
      </c>
      <c r="H150">
        <v>5</v>
      </c>
      <c r="I150">
        <v>8</v>
      </c>
      <c r="J150">
        <v>6.4484679665738156</v>
      </c>
      <c r="K150">
        <v>4.968139197041733</v>
      </c>
      <c r="L150">
        <v>7.5249257696515084</v>
      </c>
      <c r="M150">
        <f t="shared" si="2"/>
        <v>6.3138443110890181</v>
      </c>
    </row>
    <row r="151" spans="1:13" x14ac:dyDescent="0.3">
      <c r="A151" t="s">
        <v>158</v>
      </c>
      <c r="B151" t="s">
        <v>797</v>
      </c>
      <c r="C151">
        <v>48.3</v>
      </c>
      <c r="D151">
        <v>8343457.90625</v>
      </c>
      <c r="E151">
        <v>7940848.90625</v>
      </c>
      <c r="F151">
        <v>11572196.375</v>
      </c>
      <c r="G151">
        <v>38</v>
      </c>
      <c r="H151">
        <v>33</v>
      </c>
      <c r="I151">
        <v>38</v>
      </c>
      <c r="J151">
        <v>40.840297121634173</v>
      </c>
      <c r="K151">
        <v>32.789718700475433</v>
      </c>
      <c r="L151">
        <v>35.743397405844661</v>
      </c>
      <c r="M151">
        <f t="shared" si="2"/>
        <v>36.457804409318094</v>
      </c>
    </row>
    <row r="152" spans="1:13" x14ac:dyDescent="0.3">
      <c r="A152" t="s">
        <v>159</v>
      </c>
      <c r="B152" t="s">
        <v>798</v>
      </c>
      <c r="C152">
        <v>29.9</v>
      </c>
      <c r="D152">
        <v>3000955.9375</v>
      </c>
      <c r="E152">
        <v>1762697.0625</v>
      </c>
      <c r="F152">
        <v>4358972.875</v>
      </c>
      <c r="G152">
        <v>4</v>
      </c>
      <c r="H152">
        <v>5</v>
      </c>
      <c r="I152">
        <v>6</v>
      </c>
      <c r="J152">
        <v>4.2989786443825437</v>
      </c>
      <c r="K152">
        <v>4.968139197041733</v>
      </c>
      <c r="L152">
        <v>5.6436943272386308</v>
      </c>
      <c r="M152">
        <f t="shared" si="2"/>
        <v>4.9702707228876362</v>
      </c>
    </row>
    <row r="153" spans="1:13" x14ac:dyDescent="0.3">
      <c r="A153" t="s">
        <v>160</v>
      </c>
      <c r="B153" t="s">
        <v>799</v>
      </c>
      <c r="C153">
        <v>45.2</v>
      </c>
      <c r="D153">
        <v>2075417.375</v>
      </c>
      <c r="E153">
        <v>3256962.5</v>
      </c>
      <c r="F153">
        <v>3537202.1875</v>
      </c>
      <c r="G153">
        <v>3</v>
      </c>
      <c r="H153">
        <v>4</v>
      </c>
      <c r="I153">
        <v>3</v>
      </c>
      <c r="J153">
        <v>3.2242339832869078</v>
      </c>
      <c r="K153">
        <v>3.9745113576333861</v>
      </c>
      <c r="L153">
        <v>2.821847163619315</v>
      </c>
      <c r="M153">
        <f t="shared" si="2"/>
        <v>3.3401975015132028</v>
      </c>
    </row>
    <row r="154" spans="1:13" x14ac:dyDescent="0.3">
      <c r="A154" t="s">
        <v>161</v>
      </c>
      <c r="B154" t="s">
        <v>800</v>
      </c>
      <c r="C154">
        <v>86.2</v>
      </c>
      <c r="D154">
        <v>971968</v>
      </c>
      <c r="E154">
        <v>1062497.25</v>
      </c>
      <c r="F154">
        <v>1337217.25</v>
      </c>
      <c r="G154">
        <v>2</v>
      </c>
      <c r="H154">
        <v>2</v>
      </c>
      <c r="I154">
        <v>2</v>
      </c>
      <c r="J154">
        <v>2.1494893221912719</v>
      </c>
      <c r="K154">
        <v>1.9872556788166931</v>
      </c>
      <c r="L154">
        <v>1.8812314424128771</v>
      </c>
      <c r="M154">
        <f t="shared" si="2"/>
        <v>2.0059921478069476</v>
      </c>
    </row>
    <row r="155" spans="1:13" x14ac:dyDescent="0.3">
      <c r="A155" t="s">
        <v>162</v>
      </c>
      <c r="B155" t="s">
        <v>801</v>
      </c>
      <c r="C155">
        <v>32.299999999999997</v>
      </c>
      <c r="D155">
        <v>58751405.125</v>
      </c>
      <c r="E155">
        <v>74454405.5625</v>
      </c>
      <c r="F155">
        <v>84042629.4375</v>
      </c>
      <c r="G155">
        <v>30</v>
      </c>
      <c r="H155">
        <v>39</v>
      </c>
      <c r="I155">
        <v>37</v>
      </c>
      <c r="J155">
        <v>32.242339832869078</v>
      </c>
      <c r="K155">
        <v>38.75148573692551</v>
      </c>
      <c r="L155">
        <v>34.802781684638227</v>
      </c>
      <c r="M155">
        <f t="shared" si="2"/>
        <v>35.265535751477607</v>
      </c>
    </row>
    <row r="156" spans="1:13" x14ac:dyDescent="0.3">
      <c r="A156" t="s">
        <v>163</v>
      </c>
      <c r="B156" t="s">
        <v>802</v>
      </c>
      <c r="C156">
        <v>40.6</v>
      </c>
      <c r="D156">
        <v>2211747.5625</v>
      </c>
      <c r="E156">
        <v>1986903.75</v>
      </c>
      <c r="F156">
        <v>2670906.1875</v>
      </c>
      <c r="G156">
        <v>4</v>
      </c>
      <c r="H156">
        <v>3</v>
      </c>
      <c r="I156">
        <v>4</v>
      </c>
      <c r="J156">
        <v>4.2989786443825437</v>
      </c>
      <c r="K156">
        <v>2.9808835182250402</v>
      </c>
      <c r="L156">
        <v>3.7624628848257542</v>
      </c>
      <c r="M156">
        <f t="shared" si="2"/>
        <v>3.6807750158111125</v>
      </c>
    </row>
    <row r="157" spans="1:13" x14ac:dyDescent="0.3">
      <c r="A157" t="s">
        <v>164</v>
      </c>
      <c r="B157" t="s">
        <v>803</v>
      </c>
      <c r="C157">
        <v>56.8</v>
      </c>
      <c r="D157">
        <v>6920730.9375</v>
      </c>
      <c r="E157">
        <v>7058417.90625</v>
      </c>
      <c r="F157">
        <v>12700613.625</v>
      </c>
      <c r="G157">
        <v>7</v>
      </c>
      <c r="H157">
        <v>9</v>
      </c>
      <c r="I157">
        <v>9</v>
      </c>
      <c r="J157">
        <v>7.5232126276694524</v>
      </c>
      <c r="K157">
        <v>8.9426505546751187</v>
      </c>
      <c r="L157">
        <v>8.4655414908579463</v>
      </c>
      <c r="M157">
        <f t="shared" si="2"/>
        <v>8.3104682244008377</v>
      </c>
    </row>
    <row r="158" spans="1:13" x14ac:dyDescent="0.3">
      <c r="A158" t="s">
        <v>165</v>
      </c>
      <c r="B158" t="s">
        <v>804</v>
      </c>
      <c r="C158">
        <v>42.5</v>
      </c>
      <c r="D158">
        <v>23635267.2265625</v>
      </c>
      <c r="E158">
        <v>33424980.46875</v>
      </c>
      <c r="F158">
        <v>43752101.0625</v>
      </c>
      <c r="G158">
        <v>25</v>
      </c>
      <c r="H158">
        <v>27</v>
      </c>
      <c r="I158">
        <v>29</v>
      </c>
      <c r="J158">
        <v>26.868616527390898</v>
      </c>
      <c r="K158">
        <v>26.827951664025349</v>
      </c>
      <c r="L158">
        <v>27.277855914986709</v>
      </c>
      <c r="M158">
        <f t="shared" si="2"/>
        <v>26.991474702134315</v>
      </c>
    </row>
    <row r="159" spans="1:13" x14ac:dyDescent="0.3">
      <c r="A159" t="s">
        <v>166</v>
      </c>
      <c r="B159" t="s">
        <v>805</v>
      </c>
      <c r="C159">
        <v>52.5</v>
      </c>
      <c r="D159">
        <v>3882857.4375</v>
      </c>
      <c r="E159">
        <v>2547568.4375</v>
      </c>
      <c r="F159">
        <v>5888845</v>
      </c>
      <c r="G159">
        <v>11</v>
      </c>
      <c r="H159">
        <v>13</v>
      </c>
      <c r="I159">
        <v>17</v>
      </c>
      <c r="J159">
        <v>11.822191272052001</v>
      </c>
      <c r="K159">
        <v>12.917161912308501</v>
      </c>
      <c r="L159">
        <v>15.990467260509449</v>
      </c>
      <c r="M159">
        <f t="shared" si="2"/>
        <v>13.57660681495665</v>
      </c>
    </row>
    <row r="160" spans="1:13" x14ac:dyDescent="0.3">
      <c r="A160" t="s">
        <v>167</v>
      </c>
      <c r="B160" t="s">
        <v>806</v>
      </c>
      <c r="C160">
        <v>30.2</v>
      </c>
      <c r="D160">
        <v>20952995.25</v>
      </c>
      <c r="E160">
        <v>22372924.875</v>
      </c>
      <c r="F160">
        <v>18832500.125</v>
      </c>
      <c r="G160">
        <v>15</v>
      </c>
      <c r="H160">
        <v>15</v>
      </c>
      <c r="I160">
        <v>13</v>
      </c>
      <c r="J160">
        <v>16.121169916434539</v>
      </c>
      <c r="K160">
        <v>14.904417591125201</v>
      </c>
      <c r="L160">
        <v>12.2280043756837</v>
      </c>
      <c r="M160">
        <f t="shared" si="2"/>
        <v>14.417863961081148</v>
      </c>
    </row>
    <row r="161" spans="1:13" x14ac:dyDescent="0.3">
      <c r="A161" t="s">
        <v>168</v>
      </c>
      <c r="B161" t="s">
        <v>807</v>
      </c>
      <c r="C161">
        <v>71.2</v>
      </c>
      <c r="D161">
        <v>10298279.8125</v>
      </c>
      <c r="E161">
        <v>8602341.5</v>
      </c>
      <c r="F161">
        <v>11391496.125</v>
      </c>
      <c r="G161">
        <v>58</v>
      </c>
      <c r="H161">
        <v>53</v>
      </c>
      <c r="I161">
        <v>61</v>
      </c>
      <c r="J161">
        <v>62.335190343546877</v>
      </c>
      <c r="K161">
        <v>52.662275488642358</v>
      </c>
      <c r="L161">
        <v>57.37755899359275</v>
      </c>
      <c r="M161">
        <f t="shared" si="2"/>
        <v>57.458341608593997</v>
      </c>
    </row>
    <row r="162" spans="1:13" x14ac:dyDescent="0.3">
      <c r="A162" t="s">
        <v>169</v>
      </c>
      <c r="B162" t="s">
        <v>808</v>
      </c>
      <c r="C162">
        <v>47.8</v>
      </c>
      <c r="D162">
        <v>7475967</v>
      </c>
      <c r="E162">
        <v>7575185.53125</v>
      </c>
      <c r="F162">
        <v>10186439.0625</v>
      </c>
      <c r="G162">
        <v>11</v>
      </c>
      <c r="H162">
        <v>9</v>
      </c>
      <c r="I162">
        <v>14</v>
      </c>
      <c r="J162">
        <v>11.822191272052001</v>
      </c>
      <c r="K162">
        <v>8.9426505546751187</v>
      </c>
      <c r="L162">
        <v>13.168620096890139</v>
      </c>
      <c r="M162">
        <f t="shared" si="2"/>
        <v>11.311153974539087</v>
      </c>
    </row>
    <row r="163" spans="1:13" x14ac:dyDescent="0.3">
      <c r="A163" t="s">
        <v>170</v>
      </c>
      <c r="B163" t="s">
        <v>809</v>
      </c>
      <c r="C163">
        <v>91.5</v>
      </c>
      <c r="D163">
        <v>35270493.265625</v>
      </c>
      <c r="E163">
        <v>43443130.375</v>
      </c>
      <c r="F163">
        <v>49356664.15625</v>
      </c>
      <c r="G163">
        <v>66</v>
      </c>
      <c r="H163">
        <v>68</v>
      </c>
      <c r="I163">
        <v>67</v>
      </c>
      <c r="J163">
        <v>70.933147632311972</v>
      </c>
      <c r="K163">
        <v>67.56669307976756</v>
      </c>
      <c r="L163">
        <v>63.021253320831377</v>
      </c>
      <c r="M163">
        <f t="shared" si="2"/>
        <v>67.173698010970313</v>
      </c>
    </row>
    <row r="164" spans="1:13" x14ac:dyDescent="0.3">
      <c r="A164" t="s">
        <v>171</v>
      </c>
      <c r="B164" t="s">
        <v>810</v>
      </c>
      <c r="C164">
        <v>107.5</v>
      </c>
      <c r="D164">
        <v>546734.75</v>
      </c>
      <c r="E164">
        <v>2417642.875</v>
      </c>
      <c r="F164">
        <v>2782866.0625</v>
      </c>
      <c r="G164">
        <v>3</v>
      </c>
      <c r="H164">
        <v>4</v>
      </c>
      <c r="I164">
        <v>6</v>
      </c>
      <c r="J164">
        <v>3.2242339832869078</v>
      </c>
      <c r="K164">
        <v>3.9745113576333861</v>
      </c>
      <c r="L164">
        <v>5.6436943272386308</v>
      </c>
      <c r="M164">
        <f t="shared" si="2"/>
        <v>4.2808132227196412</v>
      </c>
    </row>
    <row r="165" spans="1:13" x14ac:dyDescent="0.3">
      <c r="A165" t="s">
        <v>172</v>
      </c>
      <c r="B165" t="s">
        <v>811</v>
      </c>
      <c r="C165">
        <v>35.5</v>
      </c>
      <c r="D165">
        <v>47785718.53125</v>
      </c>
      <c r="E165">
        <v>51217146.6875</v>
      </c>
      <c r="F165">
        <v>56561226.3125</v>
      </c>
      <c r="G165">
        <v>27</v>
      </c>
      <c r="H165">
        <v>32</v>
      </c>
      <c r="I165">
        <v>32</v>
      </c>
      <c r="J165">
        <v>29.01810584958217</v>
      </c>
      <c r="K165">
        <v>31.796090861067089</v>
      </c>
      <c r="L165">
        <v>30.09970307860603</v>
      </c>
      <c r="M165">
        <f t="shared" si="2"/>
        <v>30.304633263085094</v>
      </c>
    </row>
    <row r="166" spans="1:13" x14ac:dyDescent="0.3">
      <c r="A166" t="s">
        <v>173</v>
      </c>
      <c r="B166" t="s">
        <v>812</v>
      </c>
      <c r="C166">
        <v>61.6</v>
      </c>
      <c r="D166">
        <v>1153701.625</v>
      </c>
      <c r="E166">
        <v>1339105.4375</v>
      </c>
      <c r="F166">
        <v>877373.5</v>
      </c>
      <c r="G166">
        <v>2</v>
      </c>
      <c r="H166">
        <v>4</v>
      </c>
      <c r="I166">
        <v>2</v>
      </c>
      <c r="J166">
        <v>2.1494893221912719</v>
      </c>
      <c r="K166">
        <v>3.9745113576333861</v>
      </c>
      <c r="L166">
        <v>1.8812314424128771</v>
      </c>
      <c r="M166">
        <f t="shared" si="2"/>
        <v>2.6684107074125119</v>
      </c>
    </row>
    <row r="167" spans="1:13" x14ac:dyDescent="0.3">
      <c r="A167" t="s">
        <v>174</v>
      </c>
      <c r="B167" t="s">
        <v>813</v>
      </c>
      <c r="C167">
        <v>25.7</v>
      </c>
      <c r="D167">
        <v>38379024.78125</v>
      </c>
      <c r="E167">
        <v>42696505.4375</v>
      </c>
      <c r="F167">
        <v>63908909.578125</v>
      </c>
      <c r="G167">
        <v>23</v>
      </c>
      <c r="H167">
        <v>25</v>
      </c>
      <c r="I167">
        <v>27</v>
      </c>
      <c r="J167">
        <v>24.71912720519963</v>
      </c>
      <c r="K167">
        <v>24.840695985208662</v>
      </c>
      <c r="L167">
        <v>25.396624472573841</v>
      </c>
      <c r="M167">
        <f t="shared" si="2"/>
        <v>24.985482554327376</v>
      </c>
    </row>
    <row r="168" spans="1:13" x14ac:dyDescent="0.3">
      <c r="A168" t="s">
        <v>175</v>
      </c>
      <c r="B168" t="s">
        <v>685</v>
      </c>
      <c r="C168">
        <v>22</v>
      </c>
      <c r="D168">
        <v>1617923.625</v>
      </c>
      <c r="E168">
        <v>1945360.25</v>
      </c>
      <c r="F168">
        <v>6463385.875</v>
      </c>
      <c r="G168">
        <v>17</v>
      </c>
      <c r="H168">
        <v>15</v>
      </c>
      <c r="I168">
        <v>13</v>
      </c>
      <c r="J168">
        <v>18.270659238625811</v>
      </c>
      <c r="K168">
        <v>14.904417591125201</v>
      </c>
      <c r="L168">
        <v>12.2280043756837</v>
      </c>
      <c r="M168">
        <f t="shared" si="2"/>
        <v>15.134360401811572</v>
      </c>
    </row>
    <row r="169" spans="1:13" x14ac:dyDescent="0.3">
      <c r="A169" t="s">
        <v>176</v>
      </c>
      <c r="B169" t="s">
        <v>814</v>
      </c>
      <c r="C169">
        <v>68.5</v>
      </c>
      <c r="D169">
        <v>9916915.125</v>
      </c>
      <c r="E169">
        <v>11120419.75</v>
      </c>
      <c r="F169">
        <v>13288166.875</v>
      </c>
      <c r="G169">
        <v>13</v>
      </c>
      <c r="H169">
        <v>13</v>
      </c>
      <c r="I169">
        <v>14</v>
      </c>
      <c r="J169">
        <v>13.971680594243271</v>
      </c>
      <c r="K169">
        <v>12.917161912308501</v>
      </c>
      <c r="L169">
        <v>13.168620096890139</v>
      </c>
      <c r="M169">
        <f t="shared" si="2"/>
        <v>13.352487534480638</v>
      </c>
    </row>
    <row r="170" spans="1:13" x14ac:dyDescent="0.3">
      <c r="A170" t="s">
        <v>177</v>
      </c>
      <c r="B170" t="s">
        <v>815</v>
      </c>
      <c r="C170">
        <v>30</v>
      </c>
      <c r="D170">
        <v>1595812</v>
      </c>
      <c r="E170">
        <v>2165594.8125</v>
      </c>
      <c r="F170">
        <v>2351579.75</v>
      </c>
      <c r="G170">
        <v>17</v>
      </c>
      <c r="H170">
        <v>20</v>
      </c>
      <c r="I170">
        <v>18</v>
      </c>
      <c r="J170">
        <v>18.270659238625811</v>
      </c>
      <c r="K170">
        <v>19.872556788166928</v>
      </c>
      <c r="L170">
        <v>16.931082981715889</v>
      </c>
      <c r="M170">
        <f t="shared" si="2"/>
        <v>18.358099669502877</v>
      </c>
    </row>
    <row r="171" spans="1:13" x14ac:dyDescent="0.3">
      <c r="A171" t="s">
        <v>178</v>
      </c>
      <c r="B171" t="s">
        <v>816</v>
      </c>
      <c r="C171">
        <v>49.8</v>
      </c>
      <c r="D171">
        <v>140962.515625</v>
      </c>
      <c r="E171">
        <v>0</v>
      </c>
      <c r="F171">
        <v>0</v>
      </c>
      <c r="G171">
        <v>4</v>
      </c>
      <c r="J171">
        <v>4.2989786443825437</v>
      </c>
      <c r="K171" t="s">
        <v>1184</v>
      </c>
      <c r="L171" t="s">
        <v>1184</v>
      </c>
      <c r="M171">
        <f t="shared" si="2"/>
        <v>4.2989786443825437</v>
      </c>
    </row>
    <row r="172" spans="1:13" x14ac:dyDescent="0.3">
      <c r="A172" t="s">
        <v>179</v>
      </c>
      <c r="B172" t="s">
        <v>817</v>
      </c>
      <c r="C172">
        <v>24</v>
      </c>
      <c r="D172">
        <v>49104786.953125</v>
      </c>
      <c r="E172">
        <v>48097708.0625</v>
      </c>
      <c r="F172">
        <v>65062424.4375</v>
      </c>
      <c r="G172">
        <v>24</v>
      </c>
      <c r="H172">
        <v>24</v>
      </c>
      <c r="I172">
        <v>28</v>
      </c>
      <c r="J172">
        <v>25.79387186629527</v>
      </c>
      <c r="K172">
        <v>23.847068145800321</v>
      </c>
      <c r="L172">
        <v>26.337240193780278</v>
      </c>
      <c r="M172">
        <f t="shared" si="2"/>
        <v>25.326060068625292</v>
      </c>
    </row>
    <row r="173" spans="1:13" x14ac:dyDescent="0.3">
      <c r="A173" t="s">
        <v>180</v>
      </c>
      <c r="B173" t="s">
        <v>818</v>
      </c>
      <c r="C173">
        <v>50.4</v>
      </c>
      <c r="D173">
        <v>14936355.125</v>
      </c>
      <c r="E173">
        <v>15945587.9375</v>
      </c>
      <c r="F173">
        <v>21390646.375</v>
      </c>
      <c r="G173">
        <v>8</v>
      </c>
      <c r="H173">
        <v>9</v>
      </c>
      <c r="I173">
        <v>10</v>
      </c>
      <c r="J173">
        <v>8.5979572887650875</v>
      </c>
      <c r="K173">
        <v>8.9426505546751187</v>
      </c>
      <c r="L173">
        <v>9.4061572120643842</v>
      </c>
      <c r="M173">
        <f t="shared" si="2"/>
        <v>8.9822550185015313</v>
      </c>
    </row>
    <row r="174" spans="1:13" x14ac:dyDescent="0.3">
      <c r="A174" t="s">
        <v>181</v>
      </c>
      <c r="B174" t="s">
        <v>819</v>
      </c>
      <c r="C174">
        <v>47</v>
      </c>
      <c r="D174">
        <v>229595.21875</v>
      </c>
      <c r="E174">
        <v>359460.53125</v>
      </c>
      <c r="F174">
        <v>165882.1875</v>
      </c>
      <c r="G174">
        <v>3</v>
      </c>
      <c r="H174">
        <v>3</v>
      </c>
      <c r="I174">
        <v>3</v>
      </c>
      <c r="J174">
        <v>3.2242339832869078</v>
      </c>
      <c r="K174">
        <v>2.9808835182250402</v>
      </c>
      <c r="L174">
        <v>2.821847163619315</v>
      </c>
      <c r="M174">
        <f t="shared" si="2"/>
        <v>3.0089882217104211</v>
      </c>
    </row>
    <row r="175" spans="1:13" x14ac:dyDescent="0.3">
      <c r="A175" t="s">
        <v>182</v>
      </c>
      <c r="B175" t="s">
        <v>820</v>
      </c>
      <c r="C175">
        <v>47</v>
      </c>
      <c r="D175">
        <v>15249437.625</v>
      </c>
      <c r="E175">
        <v>15271449.4375</v>
      </c>
      <c r="F175">
        <v>12546095.75</v>
      </c>
      <c r="G175">
        <v>16</v>
      </c>
      <c r="H175">
        <v>18</v>
      </c>
      <c r="I175">
        <v>13</v>
      </c>
      <c r="J175">
        <v>17.195914577530171</v>
      </c>
      <c r="K175">
        <v>17.885301109350241</v>
      </c>
      <c r="L175">
        <v>12.2280043756837</v>
      </c>
      <c r="M175">
        <f t="shared" si="2"/>
        <v>15.769740020854703</v>
      </c>
    </row>
    <row r="176" spans="1:13" x14ac:dyDescent="0.3">
      <c r="A176" t="s">
        <v>183</v>
      </c>
      <c r="B176" t="s">
        <v>821</v>
      </c>
      <c r="C176">
        <v>26.2</v>
      </c>
      <c r="D176">
        <v>8601280.9375</v>
      </c>
      <c r="E176">
        <v>7539154.9375</v>
      </c>
      <c r="F176">
        <v>9934875.25</v>
      </c>
      <c r="G176">
        <v>16</v>
      </c>
      <c r="H176">
        <v>13</v>
      </c>
      <c r="I176">
        <v>16</v>
      </c>
      <c r="J176">
        <v>17.195914577530171</v>
      </c>
      <c r="K176">
        <v>12.917161912308501</v>
      </c>
      <c r="L176">
        <v>15.04985153930302</v>
      </c>
      <c r="M176">
        <f t="shared" si="2"/>
        <v>15.054309343047231</v>
      </c>
    </row>
    <row r="177" spans="1:13" x14ac:dyDescent="0.3">
      <c r="A177" t="s">
        <v>184</v>
      </c>
      <c r="B177" t="s">
        <v>822</v>
      </c>
      <c r="C177">
        <v>59.5</v>
      </c>
      <c r="D177">
        <v>37348161</v>
      </c>
      <c r="E177">
        <v>39806713.5625</v>
      </c>
      <c r="F177">
        <v>50256804.375</v>
      </c>
      <c r="G177">
        <v>106</v>
      </c>
      <c r="H177">
        <v>109</v>
      </c>
      <c r="I177">
        <v>110</v>
      </c>
      <c r="J177">
        <v>113.92293407613739</v>
      </c>
      <c r="K177">
        <v>108.3054344955098</v>
      </c>
      <c r="L177">
        <v>103.4677293327082</v>
      </c>
      <c r="M177">
        <f t="shared" si="2"/>
        <v>108.56536596811846</v>
      </c>
    </row>
    <row r="178" spans="1:13" x14ac:dyDescent="0.3">
      <c r="A178" t="s">
        <v>185</v>
      </c>
      <c r="B178" t="s">
        <v>823</v>
      </c>
      <c r="C178">
        <v>48.8</v>
      </c>
      <c r="D178">
        <v>1090281</v>
      </c>
      <c r="E178">
        <v>1773340.4375</v>
      </c>
      <c r="F178">
        <v>668261</v>
      </c>
      <c r="G178">
        <v>3</v>
      </c>
      <c r="H178">
        <v>4</v>
      </c>
      <c r="I178">
        <v>4</v>
      </c>
      <c r="J178">
        <v>3.2242339832869078</v>
      </c>
      <c r="K178">
        <v>3.9745113576333861</v>
      </c>
      <c r="L178">
        <v>3.7624628848257542</v>
      </c>
      <c r="M178">
        <f t="shared" si="2"/>
        <v>3.6537360752486827</v>
      </c>
    </row>
    <row r="179" spans="1:13" x14ac:dyDescent="0.3">
      <c r="A179" t="s">
        <v>186</v>
      </c>
      <c r="B179" t="s">
        <v>824</v>
      </c>
      <c r="C179">
        <v>66.7</v>
      </c>
      <c r="D179">
        <v>31203.880859375</v>
      </c>
      <c r="E179">
        <v>0</v>
      </c>
      <c r="F179">
        <v>0</v>
      </c>
      <c r="G179">
        <v>3</v>
      </c>
      <c r="H179">
        <v>3</v>
      </c>
      <c r="I179">
        <v>3</v>
      </c>
      <c r="J179">
        <v>3.2242339832869078</v>
      </c>
      <c r="K179">
        <v>2.9808835182250402</v>
      </c>
      <c r="L179">
        <v>2.821847163619315</v>
      </c>
      <c r="M179">
        <f t="shared" si="2"/>
        <v>3.0089882217104211</v>
      </c>
    </row>
    <row r="180" spans="1:13" x14ac:dyDescent="0.3">
      <c r="A180" t="s">
        <v>187</v>
      </c>
      <c r="B180" t="s">
        <v>825</v>
      </c>
      <c r="C180">
        <v>42</v>
      </c>
      <c r="D180">
        <v>4694935.671875</v>
      </c>
      <c r="E180">
        <v>4489891.21875</v>
      </c>
      <c r="F180">
        <v>2043536.25</v>
      </c>
      <c r="G180">
        <v>7</v>
      </c>
      <c r="H180">
        <v>7</v>
      </c>
      <c r="I180">
        <v>4</v>
      </c>
      <c r="J180">
        <v>7.5232126276694524</v>
      </c>
      <c r="K180">
        <v>6.9553948758584259</v>
      </c>
      <c r="L180">
        <v>3.7624628848257542</v>
      </c>
      <c r="M180">
        <f t="shared" si="2"/>
        <v>6.0803567961178784</v>
      </c>
    </row>
    <row r="181" spans="1:13" x14ac:dyDescent="0.3">
      <c r="A181" t="s">
        <v>188</v>
      </c>
      <c r="B181" t="s">
        <v>826</v>
      </c>
      <c r="C181">
        <v>74.400000000000006</v>
      </c>
      <c r="D181">
        <v>1976024.875</v>
      </c>
      <c r="E181">
        <v>2224021</v>
      </c>
      <c r="F181">
        <v>3378318.3125</v>
      </c>
      <c r="G181">
        <v>2</v>
      </c>
      <c r="H181">
        <v>3</v>
      </c>
      <c r="I181">
        <v>3</v>
      </c>
      <c r="J181">
        <v>2.1494893221912719</v>
      </c>
      <c r="K181">
        <v>2.9808835182250402</v>
      </c>
      <c r="L181">
        <v>2.821847163619315</v>
      </c>
      <c r="M181">
        <f t="shared" si="2"/>
        <v>2.6507400013452092</v>
      </c>
    </row>
    <row r="182" spans="1:13" x14ac:dyDescent="0.3">
      <c r="A182" t="s">
        <v>189</v>
      </c>
      <c r="B182" t="s">
        <v>827</v>
      </c>
      <c r="C182">
        <v>20.3</v>
      </c>
      <c r="D182">
        <v>1025689.25</v>
      </c>
      <c r="E182">
        <v>2244039.15625</v>
      </c>
      <c r="F182">
        <v>3891403.78125</v>
      </c>
      <c r="G182">
        <v>3</v>
      </c>
      <c r="H182">
        <v>4</v>
      </c>
      <c r="I182">
        <v>4</v>
      </c>
      <c r="J182">
        <v>3.2242339832869078</v>
      </c>
      <c r="K182">
        <v>3.9745113576333861</v>
      </c>
      <c r="L182">
        <v>3.7624628848257542</v>
      </c>
      <c r="M182">
        <f t="shared" si="2"/>
        <v>3.6537360752486827</v>
      </c>
    </row>
    <row r="183" spans="1:13" x14ac:dyDescent="0.3">
      <c r="A183" t="s">
        <v>190</v>
      </c>
      <c r="B183" t="s">
        <v>828</v>
      </c>
      <c r="C183">
        <v>37.799999999999997</v>
      </c>
      <c r="D183">
        <v>40144847.0625</v>
      </c>
      <c r="E183">
        <v>67076017.515625</v>
      </c>
      <c r="F183">
        <v>850608.8125</v>
      </c>
      <c r="G183">
        <v>22</v>
      </c>
      <c r="H183">
        <v>26</v>
      </c>
      <c r="I183">
        <v>29</v>
      </c>
      <c r="J183">
        <v>23.644382544103991</v>
      </c>
      <c r="K183">
        <v>25.834323824617009</v>
      </c>
      <c r="L183">
        <v>27.277855914986709</v>
      </c>
      <c r="M183">
        <f t="shared" si="2"/>
        <v>25.585520761235902</v>
      </c>
    </row>
    <row r="184" spans="1:13" x14ac:dyDescent="0.3">
      <c r="A184" t="s">
        <v>191</v>
      </c>
      <c r="B184" t="s">
        <v>829</v>
      </c>
      <c r="C184">
        <v>64.3</v>
      </c>
      <c r="D184">
        <v>7003580.6875</v>
      </c>
      <c r="E184">
        <v>7753089.8125</v>
      </c>
      <c r="F184">
        <v>14955412.25</v>
      </c>
      <c r="G184">
        <v>12</v>
      </c>
      <c r="H184">
        <v>11</v>
      </c>
      <c r="I184">
        <v>13</v>
      </c>
      <c r="J184">
        <v>12.896935933147629</v>
      </c>
      <c r="K184">
        <v>10.92990623349181</v>
      </c>
      <c r="L184">
        <v>12.2280043756837</v>
      </c>
      <c r="M184">
        <f t="shared" si="2"/>
        <v>12.018282180774378</v>
      </c>
    </row>
    <row r="185" spans="1:13" x14ac:dyDescent="0.3">
      <c r="A185" t="s">
        <v>192</v>
      </c>
      <c r="B185" t="s">
        <v>830</v>
      </c>
      <c r="C185">
        <v>8.1</v>
      </c>
      <c r="D185">
        <v>31540642.390625</v>
      </c>
      <c r="E185">
        <v>42978087.25</v>
      </c>
      <c r="F185">
        <v>46752280</v>
      </c>
      <c r="G185">
        <v>6</v>
      </c>
      <c r="H185">
        <v>6</v>
      </c>
      <c r="I185">
        <v>5</v>
      </c>
      <c r="J185">
        <v>6.4484679665738156</v>
      </c>
      <c r="K185">
        <v>5.9617670364500794</v>
      </c>
      <c r="L185">
        <v>4.7030786060321921</v>
      </c>
      <c r="M185">
        <f t="shared" si="2"/>
        <v>5.7044378696853633</v>
      </c>
    </row>
    <row r="186" spans="1:13" x14ac:dyDescent="0.3">
      <c r="A186" t="s">
        <v>193</v>
      </c>
      <c r="B186" t="s">
        <v>685</v>
      </c>
      <c r="C186">
        <v>73.5</v>
      </c>
      <c r="D186">
        <v>1371794.125</v>
      </c>
      <c r="E186">
        <v>889264.625</v>
      </c>
      <c r="F186">
        <v>1174269.875</v>
      </c>
      <c r="G186">
        <v>29</v>
      </c>
      <c r="H186">
        <v>23</v>
      </c>
      <c r="I186">
        <v>29</v>
      </c>
      <c r="J186">
        <v>31.167595171773439</v>
      </c>
      <c r="K186">
        <v>22.85344030639197</v>
      </c>
      <c r="L186">
        <v>27.277855914986709</v>
      </c>
      <c r="M186">
        <f t="shared" si="2"/>
        <v>27.099630464384038</v>
      </c>
    </row>
    <row r="187" spans="1:13" x14ac:dyDescent="0.3">
      <c r="A187" t="s">
        <v>194</v>
      </c>
      <c r="B187" t="s">
        <v>685</v>
      </c>
      <c r="C187">
        <v>73.900000000000006</v>
      </c>
      <c r="D187">
        <v>6529559.625</v>
      </c>
      <c r="E187">
        <v>8607026.375</v>
      </c>
      <c r="F187">
        <v>9755794.25</v>
      </c>
      <c r="G187">
        <v>34</v>
      </c>
      <c r="H187">
        <v>27</v>
      </c>
      <c r="I187">
        <v>34</v>
      </c>
      <c r="J187">
        <v>36.541318477251622</v>
      </c>
      <c r="K187">
        <v>26.827951664025349</v>
      </c>
      <c r="L187">
        <v>31.980934521018909</v>
      </c>
      <c r="M187">
        <f t="shared" si="2"/>
        <v>31.783401554098628</v>
      </c>
    </row>
    <row r="188" spans="1:13" x14ac:dyDescent="0.3">
      <c r="A188" t="s">
        <v>195</v>
      </c>
      <c r="B188" t="s">
        <v>685</v>
      </c>
      <c r="C188">
        <v>20.6</v>
      </c>
      <c r="D188">
        <v>751338.9375</v>
      </c>
      <c r="E188">
        <v>1018214.5625</v>
      </c>
      <c r="F188">
        <v>0</v>
      </c>
      <c r="G188">
        <v>5</v>
      </c>
      <c r="H188">
        <v>7</v>
      </c>
      <c r="J188">
        <v>5.3737233054781806</v>
      </c>
      <c r="K188">
        <v>6.9553948758584259</v>
      </c>
      <c r="L188" t="s">
        <v>1184</v>
      </c>
      <c r="M188">
        <f t="shared" si="2"/>
        <v>6.1645590906683037</v>
      </c>
    </row>
    <row r="189" spans="1:13" x14ac:dyDescent="0.3">
      <c r="A189" t="s">
        <v>196</v>
      </c>
      <c r="B189" t="s">
        <v>685</v>
      </c>
      <c r="C189">
        <v>42.6</v>
      </c>
      <c r="D189">
        <v>6143391.5</v>
      </c>
      <c r="E189">
        <v>5490935.375</v>
      </c>
      <c r="F189">
        <v>13043537</v>
      </c>
      <c r="G189">
        <v>11</v>
      </c>
      <c r="H189">
        <v>9</v>
      </c>
      <c r="I189">
        <v>12</v>
      </c>
      <c r="J189">
        <v>11.822191272052001</v>
      </c>
      <c r="K189">
        <v>8.9426505546751187</v>
      </c>
      <c r="L189">
        <v>11.28738865447726</v>
      </c>
      <c r="M189">
        <f t="shared" si="2"/>
        <v>10.684076827068127</v>
      </c>
    </row>
    <row r="190" spans="1:13" x14ac:dyDescent="0.3">
      <c r="A190" t="s">
        <v>197</v>
      </c>
      <c r="B190" t="s">
        <v>685</v>
      </c>
      <c r="C190">
        <v>25.4</v>
      </c>
      <c r="D190">
        <v>43713711.5</v>
      </c>
      <c r="E190">
        <v>34135583.75</v>
      </c>
      <c r="F190">
        <v>51417983.5625</v>
      </c>
      <c r="G190">
        <v>14</v>
      </c>
      <c r="H190">
        <v>16</v>
      </c>
      <c r="I190">
        <v>15</v>
      </c>
      <c r="J190">
        <v>15.0464252553389</v>
      </c>
      <c r="K190">
        <v>15.898045430533539</v>
      </c>
      <c r="L190">
        <v>14.109235818096581</v>
      </c>
      <c r="M190">
        <f t="shared" si="2"/>
        <v>15.017902167989673</v>
      </c>
    </row>
    <row r="191" spans="1:13" x14ac:dyDescent="0.3">
      <c r="A191" t="s">
        <v>198</v>
      </c>
      <c r="B191" t="s">
        <v>685</v>
      </c>
      <c r="C191">
        <v>27.4</v>
      </c>
      <c r="D191">
        <v>80302185.65625</v>
      </c>
      <c r="E191">
        <v>100362964.9375</v>
      </c>
      <c r="F191">
        <v>111782460.875</v>
      </c>
      <c r="G191">
        <v>30</v>
      </c>
      <c r="H191">
        <v>32</v>
      </c>
      <c r="I191">
        <v>32</v>
      </c>
      <c r="J191">
        <v>32.242339832869078</v>
      </c>
      <c r="K191">
        <v>31.796090861067089</v>
      </c>
      <c r="L191">
        <v>30.09970307860603</v>
      </c>
      <c r="M191">
        <f t="shared" si="2"/>
        <v>31.37937792418073</v>
      </c>
    </row>
    <row r="192" spans="1:13" x14ac:dyDescent="0.3">
      <c r="A192" t="s">
        <v>199</v>
      </c>
      <c r="B192" t="s">
        <v>685</v>
      </c>
      <c r="C192">
        <v>46.3</v>
      </c>
      <c r="D192">
        <v>736833.96875</v>
      </c>
      <c r="E192">
        <v>2081327.25</v>
      </c>
      <c r="F192">
        <v>543079.875</v>
      </c>
      <c r="G192">
        <v>5</v>
      </c>
      <c r="H192">
        <v>5</v>
      </c>
      <c r="I192">
        <v>4</v>
      </c>
      <c r="J192">
        <v>5.3737233054781806</v>
      </c>
      <c r="K192">
        <v>4.968139197041733</v>
      </c>
      <c r="L192">
        <v>3.7624628848257542</v>
      </c>
      <c r="M192">
        <f t="shared" si="2"/>
        <v>4.7014417957818893</v>
      </c>
    </row>
    <row r="193" spans="1:13" x14ac:dyDescent="0.3">
      <c r="A193" t="s">
        <v>200</v>
      </c>
      <c r="B193" t="s">
        <v>685</v>
      </c>
      <c r="C193">
        <v>41.6</v>
      </c>
      <c r="D193">
        <v>23759724.75</v>
      </c>
      <c r="E193">
        <v>1430885</v>
      </c>
      <c r="F193">
        <v>1512821.375</v>
      </c>
      <c r="G193">
        <v>16</v>
      </c>
      <c r="H193">
        <v>14</v>
      </c>
      <c r="I193">
        <v>16</v>
      </c>
      <c r="J193">
        <v>17.195914577530171</v>
      </c>
      <c r="K193">
        <v>13.91078975171685</v>
      </c>
      <c r="L193">
        <v>15.04985153930302</v>
      </c>
      <c r="M193">
        <f t="shared" si="2"/>
        <v>15.385518622850014</v>
      </c>
    </row>
    <row r="194" spans="1:13" x14ac:dyDescent="0.3">
      <c r="A194" t="s">
        <v>201</v>
      </c>
      <c r="B194" t="s">
        <v>685</v>
      </c>
      <c r="C194">
        <v>64.8</v>
      </c>
      <c r="D194">
        <v>797495.84375</v>
      </c>
      <c r="E194">
        <v>0</v>
      </c>
      <c r="F194">
        <v>0</v>
      </c>
      <c r="G194">
        <v>2</v>
      </c>
      <c r="J194">
        <v>2.1494893221912719</v>
      </c>
      <c r="K194" t="s">
        <v>1184</v>
      </c>
      <c r="L194" t="s">
        <v>1184</v>
      </c>
      <c r="M194">
        <f t="shared" si="2"/>
        <v>2.1494893221912719</v>
      </c>
    </row>
    <row r="195" spans="1:13" x14ac:dyDescent="0.3">
      <c r="A195" t="s">
        <v>202</v>
      </c>
      <c r="B195" t="s">
        <v>685</v>
      </c>
      <c r="C195">
        <v>38.6</v>
      </c>
      <c r="D195">
        <v>24212543.78125</v>
      </c>
      <c r="E195">
        <v>23499502.5</v>
      </c>
      <c r="F195">
        <v>31244744.625</v>
      </c>
      <c r="G195">
        <v>48</v>
      </c>
      <c r="H195">
        <v>47</v>
      </c>
      <c r="I195">
        <v>47</v>
      </c>
      <c r="J195">
        <v>51.587743732590532</v>
      </c>
      <c r="K195">
        <v>46.700508452192288</v>
      </c>
      <c r="L195">
        <v>44.208938896702612</v>
      </c>
      <c r="M195">
        <f t="shared" si="2"/>
        <v>47.499063693828475</v>
      </c>
    </row>
    <row r="196" spans="1:13" x14ac:dyDescent="0.3">
      <c r="A196" t="s">
        <v>203</v>
      </c>
      <c r="B196" t="s">
        <v>685</v>
      </c>
      <c r="C196">
        <v>93.4</v>
      </c>
      <c r="D196">
        <v>8601053.625</v>
      </c>
      <c r="E196">
        <v>7845457.75</v>
      </c>
      <c r="F196">
        <v>10461481.8125</v>
      </c>
      <c r="G196">
        <v>12</v>
      </c>
      <c r="H196">
        <v>9</v>
      </c>
      <c r="I196">
        <v>13</v>
      </c>
      <c r="J196">
        <v>12.896935933147629</v>
      </c>
      <c r="K196">
        <v>8.9426505546751187</v>
      </c>
      <c r="L196">
        <v>12.2280043756837</v>
      </c>
      <c r="M196">
        <f t="shared" ref="M196:M259" si="3">AVERAGE(J196:L196)</f>
        <v>11.355863621168817</v>
      </c>
    </row>
    <row r="197" spans="1:13" x14ac:dyDescent="0.3">
      <c r="A197" t="s">
        <v>204</v>
      </c>
      <c r="B197" t="s">
        <v>685</v>
      </c>
      <c r="C197">
        <v>32.9</v>
      </c>
      <c r="D197">
        <v>2226797.125</v>
      </c>
      <c r="E197">
        <v>2780931.5</v>
      </c>
      <c r="F197">
        <v>3750580</v>
      </c>
      <c r="G197">
        <v>3</v>
      </c>
      <c r="H197">
        <v>3</v>
      </c>
      <c r="I197">
        <v>4</v>
      </c>
      <c r="J197">
        <v>3.2242339832869078</v>
      </c>
      <c r="K197">
        <v>2.9808835182250402</v>
      </c>
      <c r="L197">
        <v>3.7624628848257542</v>
      </c>
      <c r="M197">
        <f t="shared" si="3"/>
        <v>3.3225267954459006</v>
      </c>
    </row>
    <row r="198" spans="1:13" x14ac:dyDescent="0.3">
      <c r="A198" t="s">
        <v>205</v>
      </c>
      <c r="B198" t="s">
        <v>685</v>
      </c>
      <c r="C198">
        <v>16.899999999999999</v>
      </c>
      <c r="D198">
        <v>10418002.75</v>
      </c>
      <c r="E198">
        <v>14390099.8125</v>
      </c>
      <c r="F198">
        <v>10880420.375</v>
      </c>
      <c r="G198">
        <v>9</v>
      </c>
      <c r="H198">
        <v>10</v>
      </c>
      <c r="I198">
        <v>8</v>
      </c>
      <c r="J198">
        <v>9.6727019498607234</v>
      </c>
      <c r="K198">
        <v>9.936278394083466</v>
      </c>
      <c r="L198">
        <v>7.5249257696515084</v>
      </c>
      <c r="M198">
        <f t="shared" si="3"/>
        <v>9.0446353711985665</v>
      </c>
    </row>
    <row r="199" spans="1:13" x14ac:dyDescent="0.3">
      <c r="A199" t="s">
        <v>206</v>
      </c>
      <c r="B199" t="s">
        <v>685</v>
      </c>
      <c r="C199">
        <v>32.200000000000003</v>
      </c>
      <c r="D199">
        <v>51560136.625</v>
      </c>
      <c r="E199">
        <v>58725149.25</v>
      </c>
      <c r="F199">
        <v>15469344</v>
      </c>
      <c r="G199">
        <v>22</v>
      </c>
      <c r="H199">
        <v>28</v>
      </c>
      <c r="I199">
        <v>22</v>
      </c>
      <c r="J199">
        <v>23.644382544103991</v>
      </c>
      <c r="K199">
        <v>27.8215795034337</v>
      </c>
      <c r="L199">
        <v>20.693545866541651</v>
      </c>
      <c r="M199">
        <f t="shared" si="3"/>
        <v>24.053169304693114</v>
      </c>
    </row>
    <row r="200" spans="1:13" x14ac:dyDescent="0.3">
      <c r="A200" t="s">
        <v>207</v>
      </c>
      <c r="B200" t="s">
        <v>685</v>
      </c>
      <c r="C200">
        <v>93.6</v>
      </c>
      <c r="D200">
        <v>491014.25</v>
      </c>
      <c r="E200">
        <v>702241.4375</v>
      </c>
      <c r="F200">
        <v>1192273.375</v>
      </c>
      <c r="G200">
        <v>26</v>
      </c>
      <c r="H200">
        <v>29</v>
      </c>
      <c r="I200">
        <v>30</v>
      </c>
      <c r="J200">
        <v>27.943361188486531</v>
      </c>
      <c r="K200">
        <v>28.815207342842051</v>
      </c>
      <c r="L200">
        <v>28.218471636193151</v>
      </c>
      <c r="M200">
        <f t="shared" si="3"/>
        <v>28.325680055840575</v>
      </c>
    </row>
    <row r="201" spans="1:13" x14ac:dyDescent="0.3">
      <c r="A201" t="s">
        <v>208</v>
      </c>
      <c r="B201" t="s">
        <v>685</v>
      </c>
      <c r="C201">
        <v>27.8</v>
      </c>
      <c r="D201">
        <v>40751686.6875</v>
      </c>
      <c r="E201">
        <v>37301600.8125</v>
      </c>
      <c r="F201">
        <v>47716857.5</v>
      </c>
      <c r="G201">
        <v>28</v>
      </c>
      <c r="H201">
        <v>27</v>
      </c>
      <c r="I201">
        <v>27</v>
      </c>
      <c r="J201">
        <v>30.09285051067781</v>
      </c>
      <c r="K201">
        <v>26.827951664025349</v>
      </c>
      <c r="L201">
        <v>25.396624472573841</v>
      </c>
      <c r="M201">
        <f t="shared" si="3"/>
        <v>27.439142215758995</v>
      </c>
    </row>
    <row r="202" spans="1:13" x14ac:dyDescent="0.3">
      <c r="A202" t="s">
        <v>209</v>
      </c>
      <c r="B202" t="s">
        <v>685</v>
      </c>
      <c r="C202">
        <v>43.6</v>
      </c>
      <c r="D202">
        <v>9509934.875</v>
      </c>
      <c r="E202">
        <v>10896916.75</v>
      </c>
      <c r="F202">
        <v>37887588.4375</v>
      </c>
      <c r="G202">
        <v>9</v>
      </c>
      <c r="H202">
        <v>8</v>
      </c>
      <c r="I202">
        <v>15</v>
      </c>
      <c r="J202">
        <v>9.6727019498607234</v>
      </c>
      <c r="K202">
        <v>7.9490227152667723</v>
      </c>
      <c r="L202">
        <v>14.109235818096581</v>
      </c>
      <c r="M202">
        <f t="shared" si="3"/>
        <v>10.576986827741358</v>
      </c>
    </row>
    <row r="203" spans="1:13" x14ac:dyDescent="0.3">
      <c r="A203" t="s">
        <v>210</v>
      </c>
      <c r="B203" t="s">
        <v>685</v>
      </c>
      <c r="C203">
        <v>30.7</v>
      </c>
      <c r="D203">
        <v>107535244.40625</v>
      </c>
      <c r="E203">
        <v>124026847.34375</v>
      </c>
      <c r="F203">
        <v>190995709.875</v>
      </c>
      <c r="G203">
        <v>24</v>
      </c>
      <c r="H203">
        <v>32</v>
      </c>
      <c r="I203">
        <v>32</v>
      </c>
      <c r="J203">
        <v>25.79387186629527</v>
      </c>
      <c r="K203">
        <v>31.796090861067089</v>
      </c>
      <c r="L203">
        <v>30.09970307860603</v>
      </c>
      <c r="M203">
        <f t="shared" si="3"/>
        <v>29.229888601989462</v>
      </c>
    </row>
    <row r="204" spans="1:13" x14ac:dyDescent="0.3">
      <c r="A204" t="s">
        <v>211</v>
      </c>
      <c r="B204" t="s">
        <v>685</v>
      </c>
      <c r="C204">
        <v>148.30000000000001</v>
      </c>
      <c r="D204">
        <v>169606999.34375</v>
      </c>
      <c r="E204">
        <v>162858244.0625</v>
      </c>
      <c r="F204">
        <v>228581820.8125</v>
      </c>
      <c r="G204">
        <v>88</v>
      </c>
      <c r="H204">
        <v>80</v>
      </c>
      <c r="I204">
        <v>88</v>
      </c>
      <c r="J204">
        <v>94.577530176415962</v>
      </c>
      <c r="K204">
        <v>79.490227152667728</v>
      </c>
      <c r="L204">
        <v>82.774183466166591</v>
      </c>
      <c r="M204">
        <f t="shared" si="3"/>
        <v>85.613980265083413</v>
      </c>
    </row>
    <row r="205" spans="1:13" x14ac:dyDescent="0.3">
      <c r="A205" t="s">
        <v>212</v>
      </c>
      <c r="B205" t="s">
        <v>831</v>
      </c>
      <c r="C205">
        <v>89.8</v>
      </c>
      <c r="D205">
        <v>5665961.6875</v>
      </c>
      <c r="E205">
        <v>6013955.0625</v>
      </c>
      <c r="F205">
        <v>10967752.875</v>
      </c>
      <c r="G205">
        <v>12</v>
      </c>
      <c r="H205">
        <v>13</v>
      </c>
      <c r="I205">
        <v>13</v>
      </c>
      <c r="J205">
        <v>12.896935933147629</v>
      </c>
      <c r="K205">
        <v>12.917161912308501</v>
      </c>
      <c r="L205">
        <v>12.2280043756837</v>
      </c>
      <c r="M205">
        <f t="shared" si="3"/>
        <v>12.680700740379942</v>
      </c>
    </row>
    <row r="206" spans="1:13" x14ac:dyDescent="0.3">
      <c r="A206" t="s">
        <v>213</v>
      </c>
      <c r="B206" t="s">
        <v>832</v>
      </c>
      <c r="C206">
        <v>39.299999999999997</v>
      </c>
      <c r="D206">
        <v>7837913.625</v>
      </c>
      <c r="E206">
        <v>9838349.25</v>
      </c>
      <c r="F206">
        <v>11412609</v>
      </c>
      <c r="G206">
        <v>27</v>
      </c>
      <c r="H206">
        <v>28</v>
      </c>
      <c r="I206">
        <v>28</v>
      </c>
      <c r="J206">
        <v>29.01810584958217</v>
      </c>
      <c r="K206">
        <v>27.8215795034337</v>
      </c>
      <c r="L206">
        <v>26.337240193780278</v>
      </c>
      <c r="M206">
        <f t="shared" si="3"/>
        <v>27.725641848932046</v>
      </c>
    </row>
    <row r="207" spans="1:13" x14ac:dyDescent="0.3">
      <c r="A207" t="s">
        <v>214</v>
      </c>
      <c r="B207" t="s">
        <v>833</v>
      </c>
      <c r="C207">
        <v>21.5</v>
      </c>
      <c r="D207">
        <v>1211357.21875</v>
      </c>
      <c r="E207">
        <v>2802340</v>
      </c>
      <c r="F207">
        <v>2998106.625</v>
      </c>
      <c r="G207">
        <v>3</v>
      </c>
      <c r="H207">
        <v>5</v>
      </c>
      <c r="I207">
        <v>3</v>
      </c>
      <c r="J207">
        <v>3.2242339832869078</v>
      </c>
      <c r="K207">
        <v>4.968139197041733</v>
      </c>
      <c r="L207">
        <v>2.821847163619315</v>
      </c>
      <c r="M207">
        <f t="shared" si="3"/>
        <v>3.6714067813159854</v>
      </c>
    </row>
    <row r="208" spans="1:13" x14ac:dyDescent="0.3">
      <c r="A208" t="s">
        <v>215</v>
      </c>
      <c r="B208" t="s">
        <v>834</v>
      </c>
      <c r="C208">
        <v>28.6</v>
      </c>
      <c r="D208">
        <v>10211684.5</v>
      </c>
      <c r="E208">
        <v>11319604.5625</v>
      </c>
      <c r="F208">
        <v>14560875.875</v>
      </c>
      <c r="G208">
        <v>10</v>
      </c>
      <c r="H208">
        <v>10</v>
      </c>
      <c r="I208">
        <v>10</v>
      </c>
      <c r="J208">
        <v>10.747446610956359</v>
      </c>
      <c r="K208">
        <v>9.936278394083466</v>
      </c>
      <c r="L208">
        <v>9.4061572120643842</v>
      </c>
      <c r="M208">
        <f t="shared" si="3"/>
        <v>10.029960739034737</v>
      </c>
    </row>
    <row r="209" spans="1:13" x14ac:dyDescent="0.3">
      <c r="A209" t="s">
        <v>216</v>
      </c>
      <c r="B209" t="s">
        <v>835</v>
      </c>
      <c r="C209">
        <v>35.200000000000003</v>
      </c>
      <c r="D209">
        <v>7695657.9453125</v>
      </c>
      <c r="E209">
        <v>6877536.875</v>
      </c>
      <c r="F209">
        <v>8709506.875</v>
      </c>
      <c r="G209">
        <v>11</v>
      </c>
      <c r="H209">
        <v>11</v>
      </c>
      <c r="I209">
        <v>11</v>
      </c>
      <c r="J209">
        <v>11.822191272052001</v>
      </c>
      <c r="K209">
        <v>10.92990623349181</v>
      </c>
      <c r="L209">
        <v>10.34677293327082</v>
      </c>
      <c r="M209">
        <f t="shared" si="3"/>
        <v>11.03295681293821</v>
      </c>
    </row>
    <row r="210" spans="1:13" x14ac:dyDescent="0.3">
      <c r="A210" t="s">
        <v>217</v>
      </c>
      <c r="B210" t="s">
        <v>836</v>
      </c>
      <c r="C210">
        <v>32.5</v>
      </c>
      <c r="D210">
        <v>251756733.984375</v>
      </c>
      <c r="E210">
        <v>387506470.16015601</v>
      </c>
      <c r="F210">
        <v>399700401.19726598</v>
      </c>
      <c r="G210">
        <v>131</v>
      </c>
      <c r="H210">
        <v>185</v>
      </c>
      <c r="I210">
        <v>203</v>
      </c>
      <c r="J210">
        <v>140.79155060352829</v>
      </c>
      <c r="K210">
        <v>183.8211502905441</v>
      </c>
      <c r="L210">
        <v>190.944991404907</v>
      </c>
      <c r="M210">
        <f t="shared" si="3"/>
        <v>171.85256409965982</v>
      </c>
    </row>
    <row r="211" spans="1:13" x14ac:dyDescent="0.3">
      <c r="A211" t="s">
        <v>218</v>
      </c>
      <c r="B211" t="s">
        <v>837</v>
      </c>
      <c r="C211">
        <v>41.1</v>
      </c>
      <c r="D211">
        <v>33733047.5</v>
      </c>
      <c r="E211">
        <v>19793146</v>
      </c>
      <c r="F211">
        <v>42113064</v>
      </c>
      <c r="G211">
        <v>10</v>
      </c>
      <c r="H211">
        <v>6</v>
      </c>
      <c r="I211">
        <v>7</v>
      </c>
      <c r="J211">
        <v>10.747446610956359</v>
      </c>
      <c r="K211">
        <v>5.9617670364500794</v>
      </c>
      <c r="L211">
        <v>6.5843100484450696</v>
      </c>
      <c r="M211">
        <f t="shared" si="3"/>
        <v>7.7645078986171692</v>
      </c>
    </row>
    <row r="212" spans="1:13" x14ac:dyDescent="0.3">
      <c r="A212" t="s">
        <v>219</v>
      </c>
      <c r="B212" t="s">
        <v>838</v>
      </c>
      <c r="C212">
        <v>50.2</v>
      </c>
      <c r="D212">
        <v>8594143.15625</v>
      </c>
      <c r="E212">
        <v>8967319</v>
      </c>
      <c r="F212">
        <v>14873564.5625</v>
      </c>
      <c r="G212">
        <v>13</v>
      </c>
      <c r="H212">
        <v>12</v>
      </c>
      <c r="I212">
        <v>13</v>
      </c>
      <c r="J212">
        <v>13.971680594243271</v>
      </c>
      <c r="K212">
        <v>11.923534072900161</v>
      </c>
      <c r="L212">
        <v>12.2280043756837</v>
      </c>
      <c r="M212">
        <f t="shared" si="3"/>
        <v>12.707739680942376</v>
      </c>
    </row>
    <row r="213" spans="1:13" x14ac:dyDescent="0.3">
      <c r="A213" t="s">
        <v>220</v>
      </c>
      <c r="B213" t="s">
        <v>839</v>
      </c>
      <c r="C213">
        <v>26.4</v>
      </c>
      <c r="D213">
        <v>24277288.625</v>
      </c>
      <c r="E213">
        <v>20001463.125</v>
      </c>
      <c r="F213">
        <v>38637022.625</v>
      </c>
      <c r="G213">
        <v>13</v>
      </c>
      <c r="H213">
        <v>13</v>
      </c>
      <c r="I213">
        <v>16</v>
      </c>
      <c r="J213">
        <v>13.971680594243271</v>
      </c>
      <c r="K213">
        <v>12.917161912308501</v>
      </c>
      <c r="L213">
        <v>15.04985153930302</v>
      </c>
      <c r="M213">
        <f t="shared" si="3"/>
        <v>13.979564681951596</v>
      </c>
    </row>
    <row r="214" spans="1:13" x14ac:dyDescent="0.3">
      <c r="A214" t="s">
        <v>221</v>
      </c>
      <c r="B214" t="s">
        <v>840</v>
      </c>
      <c r="C214">
        <v>30.1</v>
      </c>
      <c r="D214">
        <v>30916689.125</v>
      </c>
      <c r="E214">
        <v>22022057.3125</v>
      </c>
      <c r="F214">
        <v>37242317.625</v>
      </c>
      <c r="G214">
        <v>25</v>
      </c>
      <c r="H214">
        <v>25</v>
      </c>
      <c r="I214">
        <v>25</v>
      </c>
      <c r="J214">
        <v>26.868616527390898</v>
      </c>
      <c r="K214">
        <v>24.840695985208662</v>
      </c>
      <c r="L214">
        <v>23.515393030160961</v>
      </c>
      <c r="M214">
        <f t="shared" si="3"/>
        <v>25.07490184758684</v>
      </c>
    </row>
    <row r="215" spans="1:13" x14ac:dyDescent="0.3">
      <c r="A215" t="s">
        <v>222</v>
      </c>
      <c r="B215" t="s">
        <v>841</v>
      </c>
      <c r="C215">
        <v>21</v>
      </c>
      <c r="D215">
        <v>2505463489.625</v>
      </c>
      <c r="E215">
        <v>3187998044.0625</v>
      </c>
      <c r="F215">
        <v>3692485600.75</v>
      </c>
      <c r="G215">
        <v>77</v>
      </c>
      <c r="H215">
        <v>85</v>
      </c>
      <c r="I215">
        <v>95</v>
      </c>
      <c r="J215">
        <v>82.755338904363967</v>
      </c>
      <c r="K215">
        <v>84.458366349709451</v>
      </c>
      <c r="L215">
        <v>89.358493514611638</v>
      </c>
      <c r="M215">
        <f t="shared" si="3"/>
        <v>85.524066256228366</v>
      </c>
    </row>
    <row r="216" spans="1:13" x14ac:dyDescent="0.3">
      <c r="A216" t="s">
        <v>223</v>
      </c>
      <c r="B216" t="s">
        <v>842</v>
      </c>
      <c r="C216">
        <v>40.5</v>
      </c>
      <c r="D216">
        <v>3455293</v>
      </c>
      <c r="E216">
        <v>7663966.46875</v>
      </c>
      <c r="F216">
        <v>9717616.875</v>
      </c>
      <c r="G216">
        <v>6</v>
      </c>
      <c r="H216">
        <v>11</v>
      </c>
      <c r="I216">
        <v>10</v>
      </c>
      <c r="J216">
        <v>6.4484679665738156</v>
      </c>
      <c r="K216">
        <v>10.92990623349181</v>
      </c>
      <c r="L216">
        <v>9.4061572120643842</v>
      </c>
      <c r="M216">
        <f t="shared" si="3"/>
        <v>8.9281771373766698</v>
      </c>
    </row>
    <row r="217" spans="1:13" x14ac:dyDescent="0.3">
      <c r="A217" t="s">
        <v>224</v>
      </c>
      <c r="B217" t="s">
        <v>843</v>
      </c>
      <c r="C217">
        <v>20.6</v>
      </c>
      <c r="D217">
        <v>140903.234375</v>
      </c>
      <c r="E217">
        <v>2426633</v>
      </c>
      <c r="F217">
        <v>1881634.90625</v>
      </c>
      <c r="G217">
        <v>3</v>
      </c>
      <c r="H217">
        <v>3</v>
      </c>
      <c r="I217">
        <v>5</v>
      </c>
      <c r="J217">
        <v>3.2242339832869078</v>
      </c>
      <c r="K217">
        <v>2.9808835182250402</v>
      </c>
      <c r="L217">
        <v>4.7030786060321921</v>
      </c>
      <c r="M217">
        <f t="shared" si="3"/>
        <v>3.6360653691813796</v>
      </c>
    </row>
    <row r="218" spans="1:13" x14ac:dyDescent="0.3">
      <c r="A218" t="s">
        <v>225</v>
      </c>
      <c r="B218" t="s">
        <v>844</v>
      </c>
      <c r="C218">
        <v>48.9</v>
      </c>
      <c r="D218">
        <v>1859148</v>
      </c>
      <c r="E218">
        <v>3821914.5625</v>
      </c>
      <c r="F218">
        <v>6805434.4375</v>
      </c>
      <c r="G218">
        <v>4</v>
      </c>
      <c r="H218">
        <v>6</v>
      </c>
      <c r="I218">
        <v>10</v>
      </c>
      <c r="J218">
        <v>4.2989786443825437</v>
      </c>
      <c r="K218">
        <v>5.9617670364500794</v>
      </c>
      <c r="L218">
        <v>9.4061572120643842</v>
      </c>
      <c r="M218">
        <f t="shared" si="3"/>
        <v>6.5556342976323352</v>
      </c>
    </row>
    <row r="219" spans="1:13" x14ac:dyDescent="0.3">
      <c r="A219" t="s">
        <v>226</v>
      </c>
      <c r="B219" t="s">
        <v>845</v>
      </c>
      <c r="C219">
        <v>54.3</v>
      </c>
      <c r="D219">
        <v>4060147</v>
      </c>
      <c r="E219">
        <v>3820263.75</v>
      </c>
      <c r="F219">
        <v>5471352</v>
      </c>
      <c r="G219">
        <v>59</v>
      </c>
      <c r="H219">
        <v>61</v>
      </c>
      <c r="I219">
        <v>60</v>
      </c>
      <c r="J219">
        <v>63.40993500464252</v>
      </c>
      <c r="K219">
        <v>60.611298203909143</v>
      </c>
      <c r="L219">
        <v>56.436943272386308</v>
      </c>
      <c r="M219">
        <f t="shared" si="3"/>
        <v>60.152725493645988</v>
      </c>
    </row>
    <row r="220" spans="1:13" x14ac:dyDescent="0.3">
      <c r="A220" t="s">
        <v>227</v>
      </c>
      <c r="B220" t="s">
        <v>685</v>
      </c>
      <c r="C220">
        <v>30.9</v>
      </c>
      <c r="D220">
        <v>14800779.9375</v>
      </c>
      <c r="E220">
        <v>19617900.25</v>
      </c>
      <c r="F220">
        <v>14803955.6875</v>
      </c>
      <c r="G220">
        <v>15</v>
      </c>
      <c r="H220">
        <v>16</v>
      </c>
      <c r="I220">
        <v>11</v>
      </c>
      <c r="J220">
        <v>16.121169916434539</v>
      </c>
      <c r="K220">
        <v>15.898045430533539</v>
      </c>
      <c r="L220">
        <v>10.34677293327082</v>
      </c>
      <c r="M220">
        <f t="shared" si="3"/>
        <v>14.121996093412967</v>
      </c>
    </row>
    <row r="221" spans="1:13" x14ac:dyDescent="0.3">
      <c r="A221" t="s">
        <v>228</v>
      </c>
      <c r="B221" t="s">
        <v>846</v>
      </c>
      <c r="C221">
        <v>42.1</v>
      </c>
      <c r="D221">
        <v>1192342.25</v>
      </c>
      <c r="E221">
        <v>952318.8125</v>
      </c>
      <c r="F221">
        <v>1144715.25</v>
      </c>
      <c r="G221">
        <v>6</v>
      </c>
      <c r="H221">
        <v>7</v>
      </c>
      <c r="I221">
        <v>7</v>
      </c>
      <c r="J221">
        <v>6.4484679665738156</v>
      </c>
      <c r="K221">
        <v>6.9553948758584259</v>
      </c>
      <c r="L221">
        <v>6.5843100484450696</v>
      </c>
      <c r="M221">
        <f t="shared" si="3"/>
        <v>6.6627242969591043</v>
      </c>
    </row>
    <row r="222" spans="1:13" x14ac:dyDescent="0.3">
      <c r="A222" t="s">
        <v>229</v>
      </c>
      <c r="B222" t="s">
        <v>847</v>
      </c>
      <c r="C222">
        <v>19.899999999999999</v>
      </c>
      <c r="D222">
        <v>8324270.75</v>
      </c>
      <c r="E222">
        <v>7000055.25</v>
      </c>
      <c r="F222">
        <v>7102832.375</v>
      </c>
      <c r="G222">
        <v>6</v>
      </c>
      <c r="H222">
        <v>6</v>
      </c>
      <c r="I222">
        <v>6</v>
      </c>
      <c r="J222">
        <v>6.4484679665738156</v>
      </c>
      <c r="K222">
        <v>5.9617670364500794</v>
      </c>
      <c r="L222">
        <v>5.6436943272386308</v>
      </c>
      <c r="M222">
        <f t="shared" si="3"/>
        <v>6.0179764434208423</v>
      </c>
    </row>
    <row r="223" spans="1:13" x14ac:dyDescent="0.3">
      <c r="A223" t="s">
        <v>230</v>
      </c>
      <c r="B223" t="s">
        <v>848</v>
      </c>
      <c r="C223">
        <v>72.2</v>
      </c>
      <c r="D223">
        <v>7631283.5625</v>
      </c>
      <c r="E223">
        <v>5337835.15625</v>
      </c>
      <c r="F223">
        <v>5378166</v>
      </c>
      <c r="G223">
        <v>11</v>
      </c>
      <c r="H223">
        <v>8</v>
      </c>
      <c r="I223">
        <v>6</v>
      </c>
      <c r="J223">
        <v>11.822191272052001</v>
      </c>
      <c r="K223">
        <v>7.9490227152667723</v>
      </c>
      <c r="L223">
        <v>5.6436943272386308</v>
      </c>
      <c r="M223">
        <f t="shared" si="3"/>
        <v>8.4716361048524682</v>
      </c>
    </row>
    <row r="224" spans="1:13" x14ac:dyDescent="0.3">
      <c r="A224" t="s">
        <v>231</v>
      </c>
      <c r="B224" t="s">
        <v>849</v>
      </c>
      <c r="C224">
        <v>27.1</v>
      </c>
      <c r="D224">
        <v>25691124.9375</v>
      </c>
      <c r="E224">
        <v>26511926.5</v>
      </c>
      <c r="F224">
        <v>31145542.125</v>
      </c>
      <c r="G224">
        <v>21</v>
      </c>
      <c r="H224">
        <v>23</v>
      </c>
      <c r="I224">
        <v>21</v>
      </c>
      <c r="J224">
        <v>22.569637883008351</v>
      </c>
      <c r="K224">
        <v>22.85344030639197</v>
      </c>
      <c r="L224">
        <v>19.75293014533521</v>
      </c>
      <c r="M224">
        <f t="shared" si="3"/>
        <v>21.72533611157851</v>
      </c>
    </row>
    <row r="225" spans="1:13" x14ac:dyDescent="0.3">
      <c r="A225" t="s">
        <v>232</v>
      </c>
      <c r="B225" t="s">
        <v>850</v>
      </c>
      <c r="C225">
        <v>19.7</v>
      </c>
      <c r="D225">
        <v>10672133.75</v>
      </c>
      <c r="E225">
        <v>9842335.75</v>
      </c>
      <c r="F225">
        <v>21131400.25</v>
      </c>
      <c r="G225">
        <v>9</v>
      </c>
      <c r="H225">
        <v>8</v>
      </c>
      <c r="I225">
        <v>11</v>
      </c>
      <c r="J225">
        <v>9.6727019498607234</v>
      </c>
      <c r="K225">
        <v>7.9490227152667723</v>
      </c>
      <c r="L225">
        <v>10.34677293327082</v>
      </c>
      <c r="M225">
        <f t="shared" si="3"/>
        <v>9.3228325327994384</v>
      </c>
    </row>
    <row r="226" spans="1:13" x14ac:dyDescent="0.3">
      <c r="A226" t="s">
        <v>233</v>
      </c>
      <c r="B226" t="s">
        <v>851</v>
      </c>
      <c r="C226">
        <v>35.4</v>
      </c>
      <c r="D226">
        <v>1096939.375</v>
      </c>
      <c r="E226">
        <v>2116777.75</v>
      </c>
      <c r="F226">
        <v>4495692.46875</v>
      </c>
      <c r="G226">
        <v>3</v>
      </c>
      <c r="H226">
        <v>5</v>
      </c>
      <c r="I226">
        <v>9</v>
      </c>
      <c r="J226">
        <v>3.2242339832869078</v>
      </c>
      <c r="K226">
        <v>4.968139197041733</v>
      </c>
      <c r="L226">
        <v>8.4655414908579463</v>
      </c>
      <c r="M226">
        <f t="shared" si="3"/>
        <v>5.552638223728863</v>
      </c>
    </row>
    <row r="227" spans="1:13" x14ac:dyDescent="0.3">
      <c r="A227" t="s">
        <v>234</v>
      </c>
      <c r="B227" t="s">
        <v>852</v>
      </c>
      <c r="C227">
        <v>36.1</v>
      </c>
      <c r="D227">
        <v>35289272.75</v>
      </c>
      <c r="E227">
        <v>41759880.625</v>
      </c>
      <c r="F227">
        <v>58478896.4375</v>
      </c>
      <c r="G227">
        <v>18</v>
      </c>
      <c r="H227">
        <v>22</v>
      </c>
      <c r="I227">
        <v>29</v>
      </c>
      <c r="J227">
        <v>19.34540389972145</v>
      </c>
      <c r="K227">
        <v>21.85981246698362</v>
      </c>
      <c r="L227">
        <v>27.277855914986709</v>
      </c>
      <c r="M227">
        <f t="shared" si="3"/>
        <v>22.827690760563929</v>
      </c>
    </row>
    <row r="228" spans="1:13" x14ac:dyDescent="0.3">
      <c r="A228" t="s">
        <v>235</v>
      </c>
      <c r="B228" t="s">
        <v>853</v>
      </c>
      <c r="C228">
        <v>33.4</v>
      </c>
      <c r="D228">
        <v>5788486.5</v>
      </c>
      <c r="E228">
        <v>7308738.125</v>
      </c>
      <c r="F228">
        <v>11330779</v>
      </c>
      <c r="G228">
        <v>20</v>
      </c>
      <c r="H228">
        <v>23</v>
      </c>
      <c r="I228">
        <v>23</v>
      </c>
      <c r="J228">
        <v>21.494893221912719</v>
      </c>
      <c r="K228">
        <v>22.85344030639197</v>
      </c>
      <c r="L228">
        <v>21.634161587748078</v>
      </c>
      <c r="M228">
        <f t="shared" si="3"/>
        <v>21.994165038684258</v>
      </c>
    </row>
    <row r="229" spans="1:13" x14ac:dyDescent="0.3">
      <c r="A229" t="s">
        <v>236</v>
      </c>
      <c r="B229" t="s">
        <v>854</v>
      </c>
      <c r="C229">
        <v>16.8</v>
      </c>
      <c r="D229">
        <v>4140982.125</v>
      </c>
      <c r="E229">
        <v>6351010.375</v>
      </c>
      <c r="F229">
        <v>10235204.75</v>
      </c>
      <c r="G229">
        <v>4</v>
      </c>
      <c r="H229">
        <v>4</v>
      </c>
      <c r="I229">
        <v>4</v>
      </c>
      <c r="J229">
        <v>4.2989786443825437</v>
      </c>
      <c r="K229">
        <v>3.9745113576333861</v>
      </c>
      <c r="L229">
        <v>3.7624628848257542</v>
      </c>
      <c r="M229">
        <f t="shared" si="3"/>
        <v>4.0119842956138951</v>
      </c>
    </row>
    <row r="230" spans="1:13" x14ac:dyDescent="0.3">
      <c r="A230" t="s">
        <v>237</v>
      </c>
      <c r="B230" t="s">
        <v>855</v>
      </c>
      <c r="C230">
        <v>41.3</v>
      </c>
      <c r="D230">
        <v>185698143.84375</v>
      </c>
      <c r="E230">
        <v>226291394.5625</v>
      </c>
      <c r="F230">
        <v>218858006.75</v>
      </c>
      <c r="G230">
        <v>56</v>
      </c>
      <c r="H230">
        <v>60</v>
      </c>
      <c r="I230">
        <v>57</v>
      </c>
      <c r="J230">
        <v>60.185701021355612</v>
      </c>
      <c r="K230">
        <v>59.617670364500789</v>
      </c>
      <c r="L230">
        <v>53.615096108766991</v>
      </c>
      <c r="M230">
        <f t="shared" si="3"/>
        <v>57.806155831541126</v>
      </c>
    </row>
    <row r="231" spans="1:13" x14ac:dyDescent="0.3">
      <c r="A231" t="s">
        <v>238</v>
      </c>
      <c r="B231" t="s">
        <v>856</v>
      </c>
      <c r="C231">
        <v>43.4</v>
      </c>
      <c r="D231">
        <v>95579845</v>
      </c>
      <c r="E231">
        <v>121587857.75</v>
      </c>
      <c r="F231">
        <v>150534571.5</v>
      </c>
      <c r="G231">
        <v>16</v>
      </c>
      <c r="H231">
        <v>17</v>
      </c>
      <c r="I231">
        <v>16</v>
      </c>
      <c r="J231">
        <v>17.195914577530171</v>
      </c>
      <c r="K231">
        <v>16.89167326994189</v>
      </c>
      <c r="L231">
        <v>15.04985153930302</v>
      </c>
      <c r="M231">
        <f t="shared" si="3"/>
        <v>16.379146462258362</v>
      </c>
    </row>
    <row r="232" spans="1:13" x14ac:dyDescent="0.3">
      <c r="A232" t="s">
        <v>239</v>
      </c>
      <c r="B232" t="s">
        <v>857</v>
      </c>
      <c r="C232">
        <v>20.8</v>
      </c>
      <c r="D232">
        <v>1623051.28125</v>
      </c>
      <c r="E232">
        <v>0</v>
      </c>
      <c r="F232">
        <v>3735343.25</v>
      </c>
      <c r="G232">
        <v>3</v>
      </c>
      <c r="I232">
        <v>3</v>
      </c>
      <c r="J232">
        <v>3.2242339832869078</v>
      </c>
      <c r="K232" t="s">
        <v>1184</v>
      </c>
      <c r="L232">
        <v>2.821847163619315</v>
      </c>
      <c r="M232">
        <f t="shared" si="3"/>
        <v>3.0230405734531116</v>
      </c>
    </row>
    <row r="233" spans="1:13" x14ac:dyDescent="0.3">
      <c r="A233" t="s">
        <v>240</v>
      </c>
      <c r="B233" t="s">
        <v>858</v>
      </c>
      <c r="C233">
        <v>16.899999999999999</v>
      </c>
      <c r="D233">
        <v>10240334</v>
      </c>
      <c r="E233">
        <v>15341675.5</v>
      </c>
      <c r="F233">
        <v>17636438</v>
      </c>
      <c r="G233">
        <v>4</v>
      </c>
      <c r="H233">
        <v>4</v>
      </c>
      <c r="I233">
        <v>4</v>
      </c>
      <c r="J233">
        <v>4.2989786443825437</v>
      </c>
      <c r="K233">
        <v>3.9745113576333861</v>
      </c>
      <c r="L233">
        <v>3.7624628848257542</v>
      </c>
      <c r="M233">
        <f t="shared" si="3"/>
        <v>4.0119842956138951</v>
      </c>
    </row>
    <row r="234" spans="1:13" x14ac:dyDescent="0.3">
      <c r="A234" t="s">
        <v>241</v>
      </c>
      <c r="B234" t="s">
        <v>859</v>
      </c>
      <c r="C234">
        <v>46.2</v>
      </c>
      <c r="D234">
        <v>8864532.5</v>
      </c>
      <c r="E234">
        <v>9291884.875</v>
      </c>
      <c r="F234">
        <v>5013303</v>
      </c>
      <c r="G234">
        <v>6</v>
      </c>
      <c r="H234">
        <v>5</v>
      </c>
      <c r="I234">
        <v>4</v>
      </c>
      <c r="J234">
        <v>6.4484679665738156</v>
      </c>
      <c r="K234">
        <v>4.968139197041733</v>
      </c>
      <c r="L234">
        <v>3.7624628848257542</v>
      </c>
      <c r="M234">
        <f t="shared" si="3"/>
        <v>5.0596900161471012</v>
      </c>
    </row>
    <row r="235" spans="1:13" x14ac:dyDescent="0.3">
      <c r="A235" t="s">
        <v>242</v>
      </c>
      <c r="B235" t="s">
        <v>685</v>
      </c>
      <c r="C235">
        <v>105.1</v>
      </c>
      <c r="D235">
        <v>14176851.5625</v>
      </c>
      <c r="E235">
        <v>10892274.125</v>
      </c>
      <c r="F235">
        <v>12681119.0625</v>
      </c>
      <c r="G235">
        <v>18</v>
      </c>
      <c r="H235">
        <v>17</v>
      </c>
      <c r="I235">
        <v>22</v>
      </c>
      <c r="J235">
        <v>19.34540389972145</v>
      </c>
      <c r="K235">
        <v>16.89167326994189</v>
      </c>
      <c r="L235">
        <v>20.693545866541651</v>
      </c>
      <c r="M235">
        <f t="shared" si="3"/>
        <v>18.976874345401665</v>
      </c>
    </row>
    <row r="236" spans="1:13" x14ac:dyDescent="0.3">
      <c r="A236" t="s">
        <v>243</v>
      </c>
      <c r="B236" t="s">
        <v>860</v>
      </c>
      <c r="C236">
        <v>60.7</v>
      </c>
      <c r="D236">
        <v>6150543.9375</v>
      </c>
      <c r="E236">
        <v>3676507.5625</v>
      </c>
      <c r="F236">
        <v>7343202.0625</v>
      </c>
      <c r="G236">
        <v>8</v>
      </c>
      <c r="H236">
        <v>5</v>
      </c>
      <c r="I236">
        <v>5</v>
      </c>
      <c r="J236">
        <v>8.5979572887650875</v>
      </c>
      <c r="K236">
        <v>4.968139197041733</v>
      </c>
      <c r="L236">
        <v>4.7030786060321921</v>
      </c>
      <c r="M236">
        <f t="shared" si="3"/>
        <v>6.0897250306130042</v>
      </c>
    </row>
    <row r="237" spans="1:13" x14ac:dyDescent="0.3">
      <c r="A237" t="s">
        <v>244</v>
      </c>
      <c r="B237" t="s">
        <v>861</v>
      </c>
      <c r="C237">
        <v>28.7</v>
      </c>
      <c r="D237">
        <v>1891729.125</v>
      </c>
      <c r="E237">
        <v>1284165.75</v>
      </c>
      <c r="F237">
        <v>1727384</v>
      </c>
      <c r="G237">
        <v>21</v>
      </c>
      <c r="H237">
        <v>22</v>
      </c>
      <c r="I237">
        <v>19</v>
      </c>
      <c r="J237">
        <v>22.569637883008351</v>
      </c>
      <c r="K237">
        <v>21.85981246698362</v>
      </c>
      <c r="L237">
        <v>17.87169870292233</v>
      </c>
      <c r="M237">
        <f t="shared" si="3"/>
        <v>20.767049684304766</v>
      </c>
    </row>
    <row r="238" spans="1:13" x14ac:dyDescent="0.3">
      <c r="A238" t="s">
        <v>245</v>
      </c>
      <c r="B238" t="s">
        <v>862</v>
      </c>
      <c r="C238">
        <v>46.1</v>
      </c>
      <c r="D238">
        <v>717729.0625</v>
      </c>
      <c r="E238">
        <v>758447.625</v>
      </c>
      <c r="F238">
        <v>0</v>
      </c>
      <c r="G238">
        <v>3</v>
      </c>
      <c r="H238">
        <v>3</v>
      </c>
      <c r="J238">
        <v>3.2242339832869078</v>
      </c>
      <c r="K238">
        <v>2.9808835182250402</v>
      </c>
      <c r="L238" t="s">
        <v>1184</v>
      </c>
      <c r="M238">
        <f t="shared" si="3"/>
        <v>3.102558750755974</v>
      </c>
    </row>
    <row r="239" spans="1:13" x14ac:dyDescent="0.3">
      <c r="A239" t="s">
        <v>246</v>
      </c>
      <c r="B239" t="s">
        <v>685</v>
      </c>
      <c r="C239">
        <v>64.8</v>
      </c>
      <c r="D239">
        <v>1184538.5</v>
      </c>
      <c r="E239">
        <v>2507388.0625</v>
      </c>
      <c r="F239">
        <v>3316513</v>
      </c>
      <c r="G239">
        <v>3</v>
      </c>
      <c r="H239">
        <v>4</v>
      </c>
      <c r="I239">
        <v>2</v>
      </c>
      <c r="J239">
        <v>3.2242339832869078</v>
      </c>
      <c r="K239">
        <v>3.9745113576333861</v>
      </c>
      <c r="L239">
        <v>1.8812314424128771</v>
      </c>
      <c r="M239">
        <f t="shared" si="3"/>
        <v>3.0266589277777238</v>
      </c>
    </row>
    <row r="240" spans="1:13" x14ac:dyDescent="0.3">
      <c r="A240" t="s">
        <v>247</v>
      </c>
      <c r="B240" t="s">
        <v>863</v>
      </c>
      <c r="C240">
        <v>34.799999999999997</v>
      </c>
      <c r="D240">
        <v>78619905.298828095</v>
      </c>
      <c r="E240">
        <v>64485664.09375</v>
      </c>
      <c r="F240">
        <v>70953492.1875</v>
      </c>
      <c r="G240">
        <v>23</v>
      </c>
      <c r="H240">
        <v>29</v>
      </c>
      <c r="I240">
        <v>30</v>
      </c>
      <c r="J240">
        <v>24.71912720519963</v>
      </c>
      <c r="K240">
        <v>28.815207342842051</v>
      </c>
      <c r="L240">
        <v>28.218471636193151</v>
      </c>
      <c r="M240">
        <f t="shared" si="3"/>
        <v>27.250935394744943</v>
      </c>
    </row>
    <row r="241" spans="1:13" x14ac:dyDescent="0.3">
      <c r="A241" t="s">
        <v>248</v>
      </c>
      <c r="B241" t="s">
        <v>864</v>
      </c>
      <c r="C241">
        <v>26.5</v>
      </c>
      <c r="D241">
        <v>2220723.25</v>
      </c>
      <c r="E241">
        <v>4362362.8125</v>
      </c>
      <c r="F241">
        <v>5032745.0625</v>
      </c>
      <c r="G241">
        <v>3</v>
      </c>
      <c r="H241">
        <v>5</v>
      </c>
      <c r="I241">
        <v>4</v>
      </c>
      <c r="J241">
        <v>3.2242339832869078</v>
      </c>
      <c r="K241">
        <v>4.968139197041733</v>
      </c>
      <c r="L241">
        <v>3.7624628848257542</v>
      </c>
      <c r="M241">
        <f t="shared" si="3"/>
        <v>3.9849453550514653</v>
      </c>
    </row>
    <row r="242" spans="1:13" x14ac:dyDescent="0.3">
      <c r="A242" t="s">
        <v>249</v>
      </c>
      <c r="B242" t="s">
        <v>865</v>
      </c>
      <c r="C242">
        <v>25.7</v>
      </c>
      <c r="D242">
        <v>3374540.75</v>
      </c>
      <c r="E242">
        <v>3586766</v>
      </c>
      <c r="F242">
        <v>6070451.5</v>
      </c>
      <c r="G242">
        <v>6</v>
      </c>
      <c r="H242">
        <v>6</v>
      </c>
      <c r="I242">
        <v>6</v>
      </c>
      <c r="J242">
        <v>6.4484679665738156</v>
      </c>
      <c r="K242">
        <v>5.9617670364500794</v>
      </c>
      <c r="L242">
        <v>5.6436943272386308</v>
      </c>
      <c r="M242">
        <f t="shared" si="3"/>
        <v>6.0179764434208423</v>
      </c>
    </row>
    <row r="243" spans="1:13" x14ac:dyDescent="0.3">
      <c r="A243" t="s">
        <v>250</v>
      </c>
      <c r="B243" t="s">
        <v>866</v>
      </c>
      <c r="C243">
        <v>27.7</v>
      </c>
      <c r="D243">
        <v>13803857</v>
      </c>
      <c r="E243">
        <v>15572066.3125</v>
      </c>
      <c r="F243">
        <v>12854589.25</v>
      </c>
      <c r="G243">
        <v>8</v>
      </c>
      <c r="H243">
        <v>9</v>
      </c>
      <c r="I243">
        <v>7</v>
      </c>
      <c r="J243">
        <v>8.5979572887650875</v>
      </c>
      <c r="K243">
        <v>8.9426505546751187</v>
      </c>
      <c r="L243">
        <v>6.5843100484450696</v>
      </c>
      <c r="M243">
        <f t="shared" si="3"/>
        <v>8.0416392972950916</v>
      </c>
    </row>
    <row r="244" spans="1:13" x14ac:dyDescent="0.3">
      <c r="A244" t="s">
        <v>251</v>
      </c>
      <c r="B244" t="s">
        <v>867</v>
      </c>
      <c r="C244">
        <v>53.3</v>
      </c>
      <c r="D244">
        <v>9992345.1875</v>
      </c>
      <c r="E244">
        <v>9093224.03125</v>
      </c>
      <c r="F244">
        <v>13148284.5</v>
      </c>
      <c r="G244">
        <v>25</v>
      </c>
      <c r="H244">
        <v>25</v>
      </c>
      <c r="I244">
        <v>26</v>
      </c>
      <c r="J244">
        <v>26.868616527390898</v>
      </c>
      <c r="K244">
        <v>24.840695985208662</v>
      </c>
      <c r="L244">
        <v>24.456008751367399</v>
      </c>
      <c r="M244">
        <f t="shared" si="3"/>
        <v>25.388440421322318</v>
      </c>
    </row>
    <row r="245" spans="1:13" x14ac:dyDescent="0.3">
      <c r="A245" t="s">
        <v>252</v>
      </c>
      <c r="B245" t="s">
        <v>868</v>
      </c>
      <c r="C245">
        <v>26.8</v>
      </c>
      <c r="D245">
        <v>4915564.5625</v>
      </c>
      <c r="E245">
        <v>5343594.5</v>
      </c>
      <c r="F245">
        <v>8214778.4375</v>
      </c>
      <c r="G245">
        <v>6</v>
      </c>
      <c r="H245">
        <v>8</v>
      </c>
      <c r="I245">
        <v>8</v>
      </c>
      <c r="J245">
        <v>6.4484679665738156</v>
      </c>
      <c r="K245">
        <v>7.9490227152667723</v>
      </c>
      <c r="L245">
        <v>7.5249257696515084</v>
      </c>
      <c r="M245">
        <f t="shared" si="3"/>
        <v>7.3074721504973654</v>
      </c>
    </row>
    <row r="246" spans="1:13" x14ac:dyDescent="0.3">
      <c r="A246" t="s">
        <v>253</v>
      </c>
      <c r="B246" t="s">
        <v>869</v>
      </c>
      <c r="C246">
        <v>38.9</v>
      </c>
      <c r="D246">
        <v>978411.59375</v>
      </c>
      <c r="E246">
        <v>983330.71875</v>
      </c>
      <c r="F246">
        <v>1933070.6875</v>
      </c>
      <c r="G246">
        <v>3</v>
      </c>
      <c r="H246">
        <v>2</v>
      </c>
      <c r="I246">
        <v>2</v>
      </c>
      <c r="J246">
        <v>3.2242339832869078</v>
      </c>
      <c r="K246">
        <v>1.9872556788166931</v>
      </c>
      <c r="L246">
        <v>1.8812314424128771</v>
      </c>
      <c r="M246">
        <f t="shared" si="3"/>
        <v>2.3642403681721595</v>
      </c>
    </row>
    <row r="247" spans="1:13" x14ac:dyDescent="0.3">
      <c r="A247" t="s">
        <v>254</v>
      </c>
      <c r="B247" t="s">
        <v>870</v>
      </c>
      <c r="C247">
        <v>56.4</v>
      </c>
      <c r="D247">
        <v>14815357.5</v>
      </c>
      <c r="E247">
        <v>11616747.5</v>
      </c>
      <c r="F247">
        <v>9977937.5</v>
      </c>
      <c r="G247">
        <v>8</v>
      </c>
      <c r="H247">
        <v>7</v>
      </c>
      <c r="I247">
        <v>5</v>
      </c>
      <c r="J247">
        <v>8.5979572887650875</v>
      </c>
      <c r="K247">
        <v>6.9553948758584259</v>
      </c>
      <c r="L247">
        <v>4.7030786060321921</v>
      </c>
      <c r="M247">
        <f t="shared" si="3"/>
        <v>6.7521435902185685</v>
      </c>
    </row>
    <row r="248" spans="1:13" x14ac:dyDescent="0.3">
      <c r="A248" t="s">
        <v>255</v>
      </c>
      <c r="B248" t="s">
        <v>871</v>
      </c>
      <c r="C248">
        <v>58</v>
      </c>
      <c r="D248">
        <v>6236370.875</v>
      </c>
      <c r="E248">
        <v>5146091.25</v>
      </c>
      <c r="F248">
        <v>6098715.4375</v>
      </c>
      <c r="G248">
        <v>9</v>
      </c>
      <c r="H248">
        <v>8</v>
      </c>
      <c r="I248">
        <v>10</v>
      </c>
      <c r="J248">
        <v>9.6727019498607234</v>
      </c>
      <c r="K248">
        <v>7.9490227152667723</v>
      </c>
      <c r="L248">
        <v>9.4061572120643842</v>
      </c>
      <c r="M248">
        <f t="shared" si="3"/>
        <v>9.0092939590639602</v>
      </c>
    </row>
    <row r="249" spans="1:13" x14ac:dyDescent="0.3">
      <c r="A249" t="s">
        <v>256</v>
      </c>
      <c r="B249" t="s">
        <v>872</v>
      </c>
      <c r="C249">
        <v>11.3</v>
      </c>
      <c r="D249">
        <v>27222917</v>
      </c>
      <c r="E249">
        <v>30327241.75</v>
      </c>
      <c r="F249">
        <v>35432353</v>
      </c>
      <c r="G249">
        <v>6</v>
      </c>
      <c r="H249">
        <v>7</v>
      </c>
      <c r="I249">
        <v>6</v>
      </c>
      <c r="J249">
        <v>6.4484679665738156</v>
      </c>
      <c r="K249">
        <v>6.9553948758584259</v>
      </c>
      <c r="L249">
        <v>5.6436943272386308</v>
      </c>
      <c r="M249">
        <f t="shared" si="3"/>
        <v>6.3491857232236244</v>
      </c>
    </row>
    <row r="250" spans="1:13" x14ac:dyDescent="0.3">
      <c r="A250" t="s">
        <v>257</v>
      </c>
      <c r="B250" t="s">
        <v>685</v>
      </c>
      <c r="C250">
        <v>24.1</v>
      </c>
      <c r="D250">
        <v>4858555.3125</v>
      </c>
      <c r="E250">
        <v>6470321.5</v>
      </c>
      <c r="F250">
        <v>8316800.875</v>
      </c>
      <c r="G250">
        <v>13</v>
      </c>
      <c r="H250">
        <v>13</v>
      </c>
      <c r="I250">
        <v>13</v>
      </c>
      <c r="J250">
        <v>13.971680594243271</v>
      </c>
      <c r="K250">
        <v>12.917161912308501</v>
      </c>
      <c r="L250">
        <v>12.2280043756837</v>
      </c>
      <c r="M250">
        <f t="shared" si="3"/>
        <v>13.038948960745158</v>
      </c>
    </row>
    <row r="251" spans="1:13" x14ac:dyDescent="0.3">
      <c r="A251" t="s">
        <v>258</v>
      </c>
      <c r="B251" t="s">
        <v>873</v>
      </c>
      <c r="C251">
        <v>29.4</v>
      </c>
      <c r="D251">
        <v>26233095.3125</v>
      </c>
      <c r="E251">
        <v>36899912.875</v>
      </c>
      <c r="F251">
        <v>55466202.75</v>
      </c>
      <c r="G251">
        <v>18</v>
      </c>
      <c r="H251">
        <v>19</v>
      </c>
      <c r="I251">
        <v>19</v>
      </c>
      <c r="J251">
        <v>19.34540389972145</v>
      </c>
      <c r="K251">
        <v>18.878928948758581</v>
      </c>
      <c r="L251">
        <v>17.87169870292233</v>
      </c>
      <c r="M251">
        <f t="shared" si="3"/>
        <v>18.698677183800786</v>
      </c>
    </row>
    <row r="252" spans="1:13" x14ac:dyDescent="0.3">
      <c r="A252" t="s">
        <v>259</v>
      </c>
      <c r="B252" t="s">
        <v>874</v>
      </c>
      <c r="C252">
        <v>39.5</v>
      </c>
      <c r="D252">
        <v>2344221.3125</v>
      </c>
      <c r="E252">
        <v>2502618.5</v>
      </c>
      <c r="F252">
        <v>1609018.5</v>
      </c>
      <c r="G252">
        <v>12</v>
      </c>
      <c r="H252">
        <v>11</v>
      </c>
      <c r="I252">
        <v>7</v>
      </c>
      <c r="J252">
        <v>12.896935933147629</v>
      </c>
      <c r="K252">
        <v>10.92990623349181</v>
      </c>
      <c r="L252">
        <v>6.5843100484450696</v>
      </c>
      <c r="M252">
        <f t="shared" si="3"/>
        <v>10.137050738361502</v>
      </c>
    </row>
    <row r="253" spans="1:13" x14ac:dyDescent="0.3">
      <c r="A253" t="s">
        <v>260</v>
      </c>
      <c r="B253" t="s">
        <v>685</v>
      </c>
      <c r="C253">
        <v>14.5</v>
      </c>
      <c r="D253">
        <v>2151345.5625</v>
      </c>
      <c r="E253">
        <v>3140837.5625</v>
      </c>
      <c r="F253">
        <v>4573795</v>
      </c>
      <c r="G253">
        <v>3</v>
      </c>
      <c r="H253">
        <v>3</v>
      </c>
      <c r="I253">
        <v>4</v>
      </c>
      <c r="J253">
        <v>3.2242339832869078</v>
      </c>
      <c r="K253">
        <v>2.9808835182250402</v>
      </c>
      <c r="L253">
        <v>3.7624628848257542</v>
      </c>
      <c r="M253">
        <f t="shared" si="3"/>
        <v>3.3225267954459006</v>
      </c>
    </row>
    <row r="254" spans="1:13" x14ac:dyDescent="0.3">
      <c r="A254" t="s">
        <v>261</v>
      </c>
      <c r="B254" t="s">
        <v>875</v>
      </c>
      <c r="C254">
        <v>28.7</v>
      </c>
      <c r="D254">
        <v>13018646.6601563</v>
      </c>
      <c r="E254">
        <v>18355819.25</v>
      </c>
      <c r="F254">
        <v>19763352.5</v>
      </c>
      <c r="G254">
        <v>26</v>
      </c>
      <c r="H254">
        <v>28</v>
      </c>
      <c r="I254">
        <v>25</v>
      </c>
      <c r="J254">
        <v>27.943361188486531</v>
      </c>
      <c r="K254">
        <v>27.8215795034337</v>
      </c>
      <c r="L254">
        <v>23.515393030160961</v>
      </c>
      <c r="M254">
        <f t="shared" si="3"/>
        <v>26.4267779073604</v>
      </c>
    </row>
    <row r="255" spans="1:13" x14ac:dyDescent="0.3">
      <c r="A255" t="s">
        <v>262</v>
      </c>
      <c r="B255" t="s">
        <v>876</v>
      </c>
      <c r="C255">
        <v>39.6</v>
      </c>
      <c r="D255">
        <v>3338047.1875</v>
      </c>
      <c r="E255">
        <v>2982403.875</v>
      </c>
      <c r="F255">
        <v>4222952.375</v>
      </c>
      <c r="G255">
        <v>25</v>
      </c>
      <c r="H255">
        <v>25</v>
      </c>
      <c r="I255">
        <v>26</v>
      </c>
      <c r="J255">
        <v>26.868616527390898</v>
      </c>
      <c r="K255">
        <v>24.840695985208662</v>
      </c>
      <c r="L255">
        <v>24.456008751367399</v>
      </c>
      <c r="M255">
        <f t="shared" si="3"/>
        <v>25.388440421322318</v>
      </c>
    </row>
    <row r="256" spans="1:13" x14ac:dyDescent="0.3">
      <c r="A256" t="s">
        <v>263</v>
      </c>
      <c r="B256" t="s">
        <v>877</v>
      </c>
      <c r="C256">
        <v>36.9</v>
      </c>
      <c r="D256">
        <v>96955387.6875</v>
      </c>
      <c r="E256">
        <v>96010560.125</v>
      </c>
      <c r="F256">
        <v>94622447.5625</v>
      </c>
      <c r="G256">
        <v>41</v>
      </c>
      <c r="H256">
        <v>47</v>
      </c>
      <c r="I256">
        <v>37</v>
      </c>
      <c r="J256">
        <v>44.064531104921073</v>
      </c>
      <c r="K256">
        <v>46.700508452192288</v>
      </c>
      <c r="L256">
        <v>34.802781684638227</v>
      </c>
      <c r="M256">
        <f t="shared" si="3"/>
        <v>41.855940413917203</v>
      </c>
    </row>
    <row r="257" spans="1:13" x14ac:dyDescent="0.3">
      <c r="A257" t="s">
        <v>264</v>
      </c>
      <c r="B257" t="s">
        <v>878</v>
      </c>
      <c r="C257">
        <v>52.4</v>
      </c>
      <c r="D257">
        <v>14217332.5</v>
      </c>
      <c r="E257">
        <v>12181550.28125</v>
      </c>
      <c r="F257">
        <v>16774578.8125</v>
      </c>
      <c r="G257">
        <v>12</v>
      </c>
      <c r="H257">
        <v>12</v>
      </c>
      <c r="I257">
        <v>12</v>
      </c>
      <c r="J257">
        <v>12.896935933147629</v>
      </c>
      <c r="K257">
        <v>11.923534072900161</v>
      </c>
      <c r="L257">
        <v>11.28738865447726</v>
      </c>
      <c r="M257">
        <f t="shared" si="3"/>
        <v>12.035952886841685</v>
      </c>
    </row>
    <row r="258" spans="1:13" x14ac:dyDescent="0.3">
      <c r="A258" t="s">
        <v>265</v>
      </c>
      <c r="B258" t="s">
        <v>879</v>
      </c>
      <c r="C258">
        <v>58.9</v>
      </c>
      <c r="D258">
        <v>1867844.625</v>
      </c>
      <c r="E258">
        <v>3337141.4375</v>
      </c>
      <c r="F258">
        <v>3104483.546875</v>
      </c>
      <c r="G258">
        <v>6</v>
      </c>
      <c r="H258">
        <v>7</v>
      </c>
      <c r="I258">
        <v>7</v>
      </c>
      <c r="J258">
        <v>6.4484679665738156</v>
      </c>
      <c r="K258">
        <v>6.9553948758584259</v>
      </c>
      <c r="L258">
        <v>6.5843100484450696</v>
      </c>
      <c r="M258">
        <f t="shared" si="3"/>
        <v>6.6627242969591043</v>
      </c>
    </row>
    <row r="259" spans="1:13" x14ac:dyDescent="0.3">
      <c r="A259" t="s">
        <v>266</v>
      </c>
      <c r="B259" t="s">
        <v>880</v>
      </c>
      <c r="C259">
        <v>43.9</v>
      </c>
      <c r="D259">
        <v>10543545.75</v>
      </c>
      <c r="E259">
        <v>13506377.875</v>
      </c>
      <c r="F259">
        <v>17608435.6875</v>
      </c>
      <c r="G259">
        <v>11</v>
      </c>
      <c r="H259">
        <v>12</v>
      </c>
      <c r="I259">
        <v>12</v>
      </c>
      <c r="J259">
        <v>11.822191272052001</v>
      </c>
      <c r="K259">
        <v>11.923534072900161</v>
      </c>
      <c r="L259">
        <v>11.28738865447726</v>
      </c>
      <c r="M259">
        <f t="shared" si="3"/>
        <v>11.677704666476474</v>
      </c>
    </row>
    <row r="260" spans="1:13" x14ac:dyDescent="0.3">
      <c r="A260" t="s">
        <v>267</v>
      </c>
      <c r="B260" t="s">
        <v>881</v>
      </c>
      <c r="C260">
        <v>47.3</v>
      </c>
      <c r="D260">
        <v>21206138.625</v>
      </c>
      <c r="E260">
        <v>22342969.6875</v>
      </c>
      <c r="F260">
        <v>30731819.6875</v>
      </c>
      <c r="G260">
        <v>15</v>
      </c>
      <c r="H260">
        <v>14</v>
      </c>
      <c r="I260">
        <v>20</v>
      </c>
      <c r="J260">
        <v>16.121169916434539</v>
      </c>
      <c r="K260">
        <v>13.91078975171685</v>
      </c>
      <c r="L260">
        <v>18.812314424128768</v>
      </c>
      <c r="M260">
        <f t="shared" ref="M260:M323" si="4">AVERAGE(J260:L260)</f>
        <v>16.281424697426718</v>
      </c>
    </row>
    <row r="261" spans="1:13" x14ac:dyDescent="0.3">
      <c r="A261" t="s">
        <v>268</v>
      </c>
      <c r="B261" t="s">
        <v>685</v>
      </c>
      <c r="C261">
        <v>33.4</v>
      </c>
      <c r="D261">
        <v>30125061.625</v>
      </c>
      <c r="E261">
        <v>36389303.125</v>
      </c>
      <c r="F261">
        <v>43959901.375</v>
      </c>
      <c r="G261">
        <v>22</v>
      </c>
      <c r="H261">
        <v>26</v>
      </c>
      <c r="I261">
        <v>28</v>
      </c>
      <c r="J261">
        <v>23.644382544103991</v>
      </c>
      <c r="K261">
        <v>25.834323824617009</v>
      </c>
      <c r="L261">
        <v>26.337240193780278</v>
      </c>
      <c r="M261">
        <f t="shared" si="4"/>
        <v>25.271982187500427</v>
      </c>
    </row>
    <row r="262" spans="1:13" x14ac:dyDescent="0.3">
      <c r="A262" t="s">
        <v>269</v>
      </c>
      <c r="B262" t="s">
        <v>882</v>
      </c>
      <c r="C262">
        <v>23.4</v>
      </c>
      <c r="D262">
        <v>1475284.1875</v>
      </c>
      <c r="E262">
        <v>2725556.5625</v>
      </c>
      <c r="F262">
        <v>0</v>
      </c>
      <c r="G262">
        <v>2</v>
      </c>
      <c r="H262">
        <v>2</v>
      </c>
      <c r="J262">
        <v>2.1494893221912719</v>
      </c>
      <c r="K262">
        <v>1.9872556788166931</v>
      </c>
      <c r="L262" t="s">
        <v>1184</v>
      </c>
      <c r="M262">
        <f t="shared" si="4"/>
        <v>2.0683725005039824</v>
      </c>
    </row>
    <row r="263" spans="1:13" x14ac:dyDescent="0.3">
      <c r="A263" t="s">
        <v>270</v>
      </c>
      <c r="B263" t="s">
        <v>883</v>
      </c>
      <c r="C263">
        <v>38.700000000000003</v>
      </c>
      <c r="D263">
        <v>8368385.625</v>
      </c>
      <c r="E263">
        <v>8053496.75</v>
      </c>
      <c r="F263">
        <v>11655393.75</v>
      </c>
      <c r="G263">
        <v>43</v>
      </c>
      <c r="H263">
        <v>46</v>
      </c>
      <c r="I263">
        <v>47</v>
      </c>
      <c r="J263">
        <v>46.214020427112352</v>
      </c>
      <c r="K263">
        <v>45.706880612783927</v>
      </c>
      <c r="L263">
        <v>44.208938896702612</v>
      </c>
      <c r="M263">
        <f t="shared" si="4"/>
        <v>45.37661331219963</v>
      </c>
    </row>
    <row r="264" spans="1:13" x14ac:dyDescent="0.3">
      <c r="A264" t="s">
        <v>271</v>
      </c>
      <c r="B264" t="s">
        <v>884</v>
      </c>
      <c r="C264">
        <v>40.5</v>
      </c>
      <c r="D264">
        <v>2064739.6875</v>
      </c>
      <c r="E264">
        <v>2397202.859375</v>
      </c>
      <c r="F264">
        <v>737941.8125</v>
      </c>
      <c r="G264">
        <v>4</v>
      </c>
      <c r="H264">
        <v>4</v>
      </c>
      <c r="I264">
        <v>3</v>
      </c>
      <c r="J264">
        <v>4.2989786443825437</v>
      </c>
      <c r="K264">
        <v>3.9745113576333861</v>
      </c>
      <c r="L264">
        <v>2.821847163619315</v>
      </c>
      <c r="M264">
        <f t="shared" si="4"/>
        <v>3.6984457218784148</v>
      </c>
    </row>
    <row r="265" spans="1:13" x14ac:dyDescent="0.3">
      <c r="A265" t="s">
        <v>272</v>
      </c>
      <c r="B265" t="s">
        <v>885</v>
      </c>
      <c r="C265">
        <v>36.700000000000003</v>
      </c>
      <c r="D265">
        <v>255963903.5</v>
      </c>
      <c r="E265">
        <v>377562944</v>
      </c>
      <c r="F265">
        <v>439143936</v>
      </c>
      <c r="G265">
        <v>270</v>
      </c>
      <c r="H265">
        <v>307</v>
      </c>
      <c r="I265">
        <v>354</v>
      </c>
      <c r="J265">
        <v>290.18105849582167</v>
      </c>
      <c r="K265">
        <v>305.04374669836238</v>
      </c>
      <c r="L265">
        <v>332.97796530707922</v>
      </c>
      <c r="M265">
        <f t="shared" si="4"/>
        <v>309.40092350042107</v>
      </c>
    </row>
    <row r="266" spans="1:13" x14ac:dyDescent="0.3">
      <c r="A266" t="s">
        <v>273</v>
      </c>
      <c r="B266" t="s">
        <v>886</v>
      </c>
      <c r="C266">
        <v>51.8</v>
      </c>
      <c r="D266">
        <v>956131362.73828101</v>
      </c>
      <c r="E266">
        <v>1049511973.98438</v>
      </c>
      <c r="F266">
        <v>1284829112.36621</v>
      </c>
      <c r="G266">
        <v>402</v>
      </c>
      <c r="H266">
        <v>452</v>
      </c>
      <c r="I266">
        <v>513</v>
      </c>
      <c r="J266">
        <v>432.04735376044567</v>
      </c>
      <c r="K266">
        <v>449.11978341257259</v>
      </c>
      <c r="L266">
        <v>482.53586497890291</v>
      </c>
      <c r="M266">
        <f t="shared" si="4"/>
        <v>454.56766738397374</v>
      </c>
    </row>
    <row r="267" spans="1:13" x14ac:dyDescent="0.3">
      <c r="A267" t="s">
        <v>274</v>
      </c>
      <c r="B267" t="s">
        <v>887</v>
      </c>
      <c r="C267">
        <v>54.1</v>
      </c>
      <c r="D267">
        <v>342609118.875</v>
      </c>
      <c r="E267">
        <v>418732270.3125</v>
      </c>
      <c r="F267">
        <v>464254890.5625</v>
      </c>
      <c r="G267">
        <v>385</v>
      </c>
      <c r="H267">
        <v>431</v>
      </c>
      <c r="I267">
        <v>491</v>
      </c>
      <c r="J267">
        <v>413.77669452181988</v>
      </c>
      <c r="K267">
        <v>428.25359878499728</v>
      </c>
      <c r="L267">
        <v>461.84231911236128</v>
      </c>
      <c r="M267">
        <f t="shared" si="4"/>
        <v>434.62420413972615</v>
      </c>
    </row>
    <row r="268" spans="1:13" x14ac:dyDescent="0.3">
      <c r="A268" t="s">
        <v>275</v>
      </c>
      <c r="B268" t="s">
        <v>888</v>
      </c>
      <c r="C268">
        <v>33.6</v>
      </c>
      <c r="D268">
        <v>31155972</v>
      </c>
      <c r="E268">
        <v>33182852</v>
      </c>
      <c r="F268">
        <v>47330104</v>
      </c>
      <c r="G268">
        <v>16</v>
      </c>
      <c r="H268">
        <v>17</v>
      </c>
      <c r="I268">
        <v>19</v>
      </c>
      <c r="J268">
        <v>17.195914577530171</v>
      </c>
      <c r="K268">
        <v>16.89167326994189</v>
      </c>
      <c r="L268">
        <v>17.87169870292233</v>
      </c>
      <c r="M268">
        <f t="shared" si="4"/>
        <v>17.3197621834648</v>
      </c>
    </row>
    <row r="269" spans="1:13" x14ac:dyDescent="0.3">
      <c r="A269" t="s">
        <v>276</v>
      </c>
      <c r="B269" t="s">
        <v>889</v>
      </c>
      <c r="C269">
        <v>35</v>
      </c>
      <c r="D269">
        <v>15062658.71875</v>
      </c>
      <c r="E269">
        <v>13337640.53125</v>
      </c>
      <c r="F269">
        <v>15016608.25</v>
      </c>
      <c r="G269">
        <v>14</v>
      </c>
      <c r="H269">
        <v>11</v>
      </c>
      <c r="I269">
        <v>14</v>
      </c>
      <c r="J269">
        <v>15.0464252553389</v>
      </c>
      <c r="K269">
        <v>10.92990623349181</v>
      </c>
      <c r="L269">
        <v>13.168620096890139</v>
      </c>
      <c r="M269">
        <f t="shared" si="4"/>
        <v>13.048317195240282</v>
      </c>
    </row>
    <row r="270" spans="1:13" x14ac:dyDescent="0.3">
      <c r="A270" t="s">
        <v>277</v>
      </c>
      <c r="B270" t="s">
        <v>890</v>
      </c>
      <c r="C270">
        <v>65.099999999999994</v>
      </c>
      <c r="D270">
        <v>9845687.15625</v>
      </c>
      <c r="E270">
        <v>9976108.8125</v>
      </c>
      <c r="F270">
        <v>15342884.75</v>
      </c>
      <c r="G270">
        <v>16</v>
      </c>
      <c r="H270">
        <v>14</v>
      </c>
      <c r="I270">
        <v>21</v>
      </c>
      <c r="J270">
        <v>17.195914577530171</v>
      </c>
      <c r="K270">
        <v>13.91078975171685</v>
      </c>
      <c r="L270">
        <v>19.75293014533521</v>
      </c>
      <c r="M270">
        <f t="shared" si="4"/>
        <v>16.953211491527412</v>
      </c>
    </row>
    <row r="271" spans="1:13" x14ac:dyDescent="0.3">
      <c r="A271" t="s">
        <v>278</v>
      </c>
      <c r="B271" t="s">
        <v>891</v>
      </c>
      <c r="C271">
        <v>41.5</v>
      </c>
      <c r="D271">
        <v>24713684.0625</v>
      </c>
      <c r="E271">
        <v>25465530.25</v>
      </c>
      <c r="F271">
        <v>23888885</v>
      </c>
      <c r="G271">
        <v>20</v>
      </c>
      <c r="H271">
        <v>20</v>
      </c>
      <c r="I271">
        <v>19</v>
      </c>
      <c r="J271">
        <v>21.494893221912719</v>
      </c>
      <c r="K271">
        <v>19.872556788166928</v>
      </c>
      <c r="L271">
        <v>17.87169870292233</v>
      </c>
      <c r="M271">
        <f t="shared" si="4"/>
        <v>19.746382904333995</v>
      </c>
    </row>
    <row r="272" spans="1:13" x14ac:dyDescent="0.3">
      <c r="A272" t="s">
        <v>279</v>
      </c>
      <c r="B272" t="s">
        <v>892</v>
      </c>
      <c r="C272">
        <v>60.9</v>
      </c>
      <c r="D272">
        <v>17687.35546875</v>
      </c>
      <c r="E272">
        <v>0</v>
      </c>
      <c r="F272">
        <v>0</v>
      </c>
      <c r="G272">
        <v>8</v>
      </c>
      <c r="H272">
        <v>10</v>
      </c>
      <c r="I272">
        <v>12</v>
      </c>
      <c r="J272">
        <v>8.5979572887650875</v>
      </c>
      <c r="K272">
        <v>9.936278394083466</v>
      </c>
      <c r="L272">
        <v>11.28738865447726</v>
      </c>
      <c r="M272">
        <f t="shared" si="4"/>
        <v>9.9405414457752723</v>
      </c>
    </row>
    <row r="273" spans="1:13" x14ac:dyDescent="0.3">
      <c r="A273" t="s">
        <v>280</v>
      </c>
      <c r="B273" t="s">
        <v>893</v>
      </c>
      <c r="C273">
        <v>70.599999999999994</v>
      </c>
      <c r="D273">
        <v>2328382.5</v>
      </c>
      <c r="E273">
        <v>2400587.25</v>
      </c>
      <c r="F273">
        <v>2113464</v>
      </c>
      <c r="G273">
        <v>46</v>
      </c>
      <c r="H273">
        <v>44</v>
      </c>
      <c r="I273">
        <v>47</v>
      </c>
      <c r="J273">
        <v>49.438254410399253</v>
      </c>
      <c r="K273">
        <v>43.719624933967253</v>
      </c>
      <c r="L273">
        <v>44.208938896702612</v>
      </c>
      <c r="M273">
        <f t="shared" si="4"/>
        <v>45.788939413689711</v>
      </c>
    </row>
    <row r="274" spans="1:13" x14ac:dyDescent="0.3">
      <c r="A274" t="s">
        <v>281</v>
      </c>
      <c r="B274" t="s">
        <v>894</v>
      </c>
      <c r="C274">
        <v>34.799999999999997</v>
      </c>
      <c r="D274">
        <v>17712081.125</v>
      </c>
      <c r="E274">
        <v>20378231.71875</v>
      </c>
      <c r="F274">
        <v>22274954</v>
      </c>
      <c r="G274">
        <v>13</v>
      </c>
      <c r="H274">
        <v>13</v>
      </c>
      <c r="I274">
        <v>10</v>
      </c>
      <c r="J274">
        <v>13.971680594243271</v>
      </c>
      <c r="K274">
        <v>12.917161912308501</v>
      </c>
      <c r="L274">
        <v>9.4061572120643842</v>
      </c>
      <c r="M274">
        <f t="shared" si="4"/>
        <v>12.098333239538718</v>
      </c>
    </row>
    <row r="275" spans="1:13" x14ac:dyDescent="0.3">
      <c r="A275" t="s">
        <v>282</v>
      </c>
      <c r="B275" t="s">
        <v>895</v>
      </c>
      <c r="C275">
        <v>57.6</v>
      </c>
      <c r="D275">
        <v>1591064.75</v>
      </c>
      <c r="E275">
        <v>2483910.625</v>
      </c>
      <c r="F275">
        <v>4567173.875</v>
      </c>
      <c r="G275">
        <v>2</v>
      </c>
      <c r="H275">
        <v>6</v>
      </c>
      <c r="I275">
        <v>8</v>
      </c>
      <c r="J275">
        <v>2.1494893221912719</v>
      </c>
      <c r="K275">
        <v>5.9617670364500794</v>
      </c>
      <c r="L275">
        <v>7.5249257696515084</v>
      </c>
      <c r="M275">
        <f t="shared" si="4"/>
        <v>5.2120607094309532</v>
      </c>
    </row>
    <row r="276" spans="1:13" x14ac:dyDescent="0.3">
      <c r="A276" t="s">
        <v>283</v>
      </c>
      <c r="B276" t="s">
        <v>685</v>
      </c>
      <c r="C276">
        <v>44.5</v>
      </c>
      <c r="D276">
        <v>1247477.75</v>
      </c>
      <c r="E276">
        <v>2906252.5</v>
      </c>
      <c r="F276">
        <v>5783707.125</v>
      </c>
      <c r="G276">
        <v>4</v>
      </c>
      <c r="H276">
        <v>3</v>
      </c>
      <c r="I276">
        <v>3</v>
      </c>
      <c r="J276">
        <v>4.2989786443825437</v>
      </c>
      <c r="K276">
        <v>2.9808835182250402</v>
      </c>
      <c r="L276">
        <v>2.821847163619315</v>
      </c>
      <c r="M276">
        <f t="shared" si="4"/>
        <v>3.3672364420756331</v>
      </c>
    </row>
    <row r="277" spans="1:13" x14ac:dyDescent="0.3">
      <c r="A277" t="s">
        <v>284</v>
      </c>
      <c r="B277" t="s">
        <v>896</v>
      </c>
      <c r="C277">
        <v>20.9</v>
      </c>
      <c r="D277">
        <v>36041342.5</v>
      </c>
      <c r="E277">
        <v>53568097.75</v>
      </c>
      <c r="F277">
        <v>50808402.5</v>
      </c>
      <c r="G277">
        <v>10</v>
      </c>
      <c r="H277">
        <v>12</v>
      </c>
      <c r="I277">
        <v>10</v>
      </c>
      <c r="J277">
        <v>10.747446610956359</v>
      </c>
      <c r="K277">
        <v>11.923534072900161</v>
      </c>
      <c r="L277">
        <v>9.4061572120643842</v>
      </c>
      <c r="M277">
        <f t="shared" si="4"/>
        <v>10.692379298640303</v>
      </c>
    </row>
    <row r="278" spans="1:13" x14ac:dyDescent="0.3">
      <c r="A278" t="s">
        <v>285</v>
      </c>
      <c r="B278" t="s">
        <v>685</v>
      </c>
      <c r="C278">
        <v>52.8</v>
      </c>
      <c r="D278">
        <v>2588267.375</v>
      </c>
      <c r="E278">
        <v>3019106.28125</v>
      </c>
      <c r="F278">
        <v>4662647.25</v>
      </c>
      <c r="G278">
        <v>4</v>
      </c>
      <c r="H278">
        <v>4</v>
      </c>
      <c r="I278">
        <v>6</v>
      </c>
      <c r="J278">
        <v>4.2989786443825437</v>
      </c>
      <c r="K278">
        <v>3.9745113576333861</v>
      </c>
      <c r="L278">
        <v>5.6436943272386308</v>
      </c>
      <c r="M278">
        <f t="shared" si="4"/>
        <v>4.6390614430848531</v>
      </c>
    </row>
    <row r="279" spans="1:13" x14ac:dyDescent="0.3">
      <c r="A279" t="s">
        <v>286</v>
      </c>
      <c r="B279" t="s">
        <v>897</v>
      </c>
      <c r="C279">
        <v>31.2</v>
      </c>
      <c r="D279">
        <v>1030087.75</v>
      </c>
      <c r="E279">
        <v>1727044.59375</v>
      </c>
      <c r="F279">
        <v>1088357.375</v>
      </c>
      <c r="G279">
        <v>2</v>
      </c>
      <c r="H279">
        <v>5</v>
      </c>
      <c r="I279">
        <v>3</v>
      </c>
      <c r="J279">
        <v>2.1494893221912719</v>
      </c>
      <c r="K279">
        <v>4.968139197041733</v>
      </c>
      <c r="L279">
        <v>2.821847163619315</v>
      </c>
      <c r="M279">
        <f t="shared" si="4"/>
        <v>3.3131585609507734</v>
      </c>
    </row>
    <row r="280" spans="1:13" x14ac:dyDescent="0.3">
      <c r="A280" t="s">
        <v>287</v>
      </c>
      <c r="B280" t="s">
        <v>898</v>
      </c>
      <c r="C280">
        <v>39.1</v>
      </c>
      <c r="D280">
        <v>1470520.3125</v>
      </c>
      <c r="E280">
        <v>871468.4375</v>
      </c>
      <c r="F280">
        <v>0</v>
      </c>
      <c r="G280">
        <v>4</v>
      </c>
      <c r="H280">
        <v>2</v>
      </c>
      <c r="J280">
        <v>4.2989786443825437</v>
      </c>
      <c r="K280">
        <v>1.9872556788166931</v>
      </c>
      <c r="L280" t="s">
        <v>1184</v>
      </c>
      <c r="M280">
        <f t="shared" si="4"/>
        <v>3.1431171615996183</v>
      </c>
    </row>
    <row r="281" spans="1:13" x14ac:dyDescent="0.3">
      <c r="A281" t="s">
        <v>288</v>
      </c>
      <c r="B281" t="s">
        <v>685</v>
      </c>
      <c r="C281">
        <v>17.899999999999999</v>
      </c>
      <c r="D281">
        <v>3401880.75</v>
      </c>
      <c r="E281">
        <v>4494026.125</v>
      </c>
      <c r="F281">
        <v>7248724.3125</v>
      </c>
      <c r="G281">
        <v>4</v>
      </c>
      <c r="H281">
        <v>4</v>
      </c>
      <c r="I281">
        <v>5</v>
      </c>
      <c r="J281">
        <v>4.2989786443825437</v>
      </c>
      <c r="K281">
        <v>3.9745113576333861</v>
      </c>
      <c r="L281">
        <v>4.7030786060321921</v>
      </c>
      <c r="M281">
        <f t="shared" si="4"/>
        <v>4.3255228693493741</v>
      </c>
    </row>
    <row r="282" spans="1:13" x14ac:dyDescent="0.3">
      <c r="A282" t="s">
        <v>289</v>
      </c>
      <c r="B282" t="s">
        <v>899</v>
      </c>
      <c r="C282">
        <v>51.1</v>
      </c>
      <c r="D282">
        <v>3285944.5</v>
      </c>
      <c r="E282">
        <v>2714060.09375</v>
      </c>
      <c r="F282">
        <v>3079531.3125</v>
      </c>
      <c r="G282">
        <v>6</v>
      </c>
      <c r="H282">
        <v>5</v>
      </c>
      <c r="I282">
        <v>7</v>
      </c>
      <c r="J282">
        <v>6.4484679665738156</v>
      </c>
      <c r="K282">
        <v>4.968139197041733</v>
      </c>
      <c r="L282">
        <v>6.5843100484450696</v>
      </c>
      <c r="M282">
        <f t="shared" si="4"/>
        <v>6.0003057373535391</v>
      </c>
    </row>
    <row r="283" spans="1:13" x14ac:dyDescent="0.3">
      <c r="A283" t="s">
        <v>290</v>
      </c>
      <c r="B283" t="s">
        <v>900</v>
      </c>
      <c r="C283">
        <v>31.4</v>
      </c>
      <c r="D283">
        <v>4710643.1875</v>
      </c>
      <c r="E283">
        <v>7567116.03125</v>
      </c>
      <c r="F283">
        <v>7095874.25</v>
      </c>
      <c r="G283">
        <v>5</v>
      </c>
      <c r="H283">
        <v>5</v>
      </c>
      <c r="I283">
        <v>4</v>
      </c>
      <c r="J283">
        <v>5.3737233054781806</v>
      </c>
      <c r="K283">
        <v>4.968139197041733</v>
      </c>
      <c r="L283">
        <v>3.7624628848257542</v>
      </c>
      <c r="M283">
        <f t="shared" si="4"/>
        <v>4.7014417957818893</v>
      </c>
    </row>
    <row r="284" spans="1:13" x14ac:dyDescent="0.3">
      <c r="A284" t="s">
        <v>291</v>
      </c>
      <c r="B284" t="s">
        <v>901</v>
      </c>
      <c r="C284">
        <v>35.5</v>
      </c>
      <c r="D284">
        <v>1506859.5</v>
      </c>
      <c r="E284">
        <v>1720055.75</v>
      </c>
      <c r="F284">
        <v>4676159.25</v>
      </c>
      <c r="G284">
        <v>6</v>
      </c>
      <c r="H284">
        <v>6</v>
      </c>
      <c r="I284">
        <v>7</v>
      </c>
      <c r="J284">
        <v>6.4484679665738156</v>
      </c>
      <c r="K284">
        <v>5.9617670364500794</v>
      </c>
      <c r="L284">
        <v>6.5843100484450696</v>
      </c>
      <c r="M284">
        <f t="shared" si="4"/>
        <v>6.3315150171563213</v>
      </c>
    </row>
    <row r="285" spans="1:13" x14ac:dyDescent="0.3">
      <c r="A285" t="s">
        <v>292</v>
      </c>
      <c r="B285" t="s">
        <v>902</v>
      </c>
      <c r="C285">
        <v>53.4</v>
      </c>
      <c r="D285">
        <v>829605.328125</v>
      </c>
      <c r="E285">
        <v>1682269.75</v>
      </c>
      <c r="F285">
        <v>2549185.3125</v>
      </c>
      <c r="G285">
        <v>3</v>
      </c>
      <c r="H285">
        <v>5</v>
      </c>
      <c r="I285">
        <v>6</v>
      </c>
      <c r="J285">
        <v>3.2242339832869078</v>
      </c>
      <c r="K285">
        <v>4.968139197041733</v>
      </c>
      <c r="L285">
        <v>5.6436943272386308</v>
      </c>
      <c r="M285">
        <f t="shared" si="4"/>
        <v>4.6120225025224242</v>
      </c>
    </row>
    <row r="286" spans="1:13" x14ac:dyDescent="0.3">
      <c r="A286" t="s">
        <v>293</v>
      </c>
      <c r="B286" t="s">
        <v>903</v>
      </c>
      <c r="C286">
        <v>51.9</v>
      </c>
      <c r="D286">
        <v>14084975</v>
      </c>
      <c r="E286">
        <v>14168093.8125</v>
      </c>
      <c r="F286">
        <v>20191648.625</v>
      </c>
      <c r="G286">
        <v>18</v>
      </c>
      <c r="H286">
        <v>18</v>
      </c>
      <c r="I286">
        <v>21</v>
      </c>
      <c r="J286">
        <v>19.34540389972145</v>
      </c>
      <c r="K286">
        <v>17.885301109350241</v>
      </c>
      <c r="L286">
        <v>19.75293014533521</v>
      </c>
      <c r="M286">
        <f t="shared" si="4"/>
        <v>18.994545051468965</v>
      </c>
    </row>
    <row r="287" spans="1:13" x14ac:dyDescent="0.3">
      <c r="A287" t="s">
        <v>294</v>
      </c>
      <c r="B287" t="s">
        <v>904</v>
      </c>
      <c r="C287">
        <v>17.8</v>
      </c>
      <c r="D287">
        <v>148043130.46875</v>
      </c>
      <c r="E287">
        <v>186667434.3125</v>
      </c>
      <c r="F287">
        <v>0</v>
      </c>
      <c r="G287">
        <v>17</v>
      </c>
      <c r="H287">
        <v>18</v>
      </c>
      <c r="J287">
        <v>18.270659238625811</v>
      </c>
      <c r="K287">
        <v>17.885301109350241</v>
      </c>
      <c r="L287" t="s">
        <v>1184</v>
      </c>
      <c r="M287">
        <f t="shared" si="4"/>
        <v>18.077980173988024</v>
      </c>
    </row>
    <row r="288" spans="1:13" x14ac:dyDescent="0.3">
      <c r="A288" t="s">
        <v>295</v>
      </c>
      <c r="B288" t="s">
        <v>905</v>
      </c>
      <c r="C288">
        <v>16.600000000000001</v>
      </c>
      <c r="D288">
        <v>1750129.0625</v>
      </c>
      <c r="E288">
        <v>1409270.75</v>
      </c>
      <c r="F288">
        <v>2630529.625</v>
      </c>
      <c r="G288">
        <v>3</v>
      </c>
      <c r="H288">
        <v>3</v>
      </c>
      <c r="I288">
        <v>4</v>
      </c>
      <c r="J288">
        <v>3.2242339832869078</v>
      </c>
      <c r="K288">
        <v>2.9808835182250402</v>
      </c>
      <c r="L288">
        <v>3.7624628848257542</v>
      </c>
      <c r="M288">
        <f t="shared" si="4"/>
        <v>3.3225267954459006</v>
      </c>
    </row>
    <row r="289" spans="1:13" x14ac:dyDescent="0.3">
      <c r="A289" t="s">
        <v>296</v>
      </c>
      <c r="B289" t="s">
        <v>906</v>
      </c>
      <c r="C289">
        <v>46.8</v>
      </c>
      <c r="D289">
        <v>10708135.75</v>
      </c>
      <c r="E289">
        <v>12554221.15625</v>
      </c>
      <c r="F289">
        <v>12360581.9375</v>
      </c>
      <c r="G289">
        <v>11</v>
      </c>
      <c r="H289">
        <v>15</v>
      </c>
      <c r="I289">
        <v>11</v>
      </c>
      <c r="J289">
        <v>11.822191272052001</v>
      </c>
      <c r="K289">
        <v>14.904417591125201</v>
      </c>
      <c r="L289">
        <v>10.34677293327082</v>
      </c>
      <c r="M289">
        <f t="shared" si="4"/>
        <v>12.35779393214934</v>
      </c>
    </row>
    <row r="290" spans="1:13" x14ac:dyDescent="0.3">
      <c r="A290" t="s">
        <v>297</v>
      </c>
      <c r="B290" t="s">
        <v>907</v>
      </c>
      <c r="C290">
        <v>35.799999999999997</v>
      </c>
      <c r="D290">
        <v>112778044.625</v>
      </c>
      <c r="E290">
        <v>123300295.375</v>
      </c>
      <c r="F290">
        <v>147816041.74609399</v>
      </c>
      <c r="G290">
        <v>35</v>
      </c>
      <c r="H290">
        <v>37</v>
      </c>
      <c r="I290">
        <v>39</v>
      </c>
      <c r="J290">
        <v>37.616063138347258</v>
      </c>
      <c r="K290">
        <v>36.764230058108822</v>
      </c>
      <c r="L290">
        <v>36.684013127051102</v>
      </c>
      <c r="M290">
        <f t="shared" si="4"/>
        <v>37.021435441169061</v>
      </c>
    </row>
    <row r="291" spans="1:13" x14ac:dyDescent="0.3">
      <c r="A291" t="s">
        <v>298</v>
      </c>
      <c r="B291" t="s">
        <v>685</v>
      </c>
      <c r="C291">
        <v>83.7</v>
      </c>
      <c r="D291">
        <v>566396.625</v>
      </c>
      <c r="E291">
        <v>0</v>
      </c>
      <c r="F291">
        <v>0</v>
      </c>
      <c r="G291">
        <v>24</v>
      </c>
      <c r="J291">
        <v>25.79387186629527</v>
      </c>
      <c r="K291" t="s">
        <v>1184</v>
      </c>
      <c r="L291" t="s">
        <v>1184</v>
      </c>
      <c r="M291">
        <f t="shared" si="4"/>
        <v>25.79387186629527</v>
      </c>
    </row>
    <row r="292" spans="1:13" x14ac:dyDescent="0.3">
      <c r="A292" t="s">
        <v>299</v>
      </c>
      <c r="B292" t="s">
        <v>908</v>
      </c>
      <c r="C292">
        <v>29.5</v>
      </c>
      <c r="D292">
        <v>50865428</v>
      </c>
      <c r="E292">
        <v>53848893</v>
      </c>
      <c r="F292">
        <v>61136462.5</v>
      </c>
      <c r="G292">
        <v>22</v>
      </c>
      <c r="H292">
        <v>21</v>
      </c>
      <c r="I292">
        <v>23</v>
      </c>
      <c r="J292">
        <v>23.644382544103991</v>
      </c>
      <c r="K292">
        <v>20.866184627575279</v>
      </c>
      <c r="L292">
        <v>21.634161587748078</v>
      </c>
      <c r="M292">
        <f t="shared" si="4"/>
        <v>22.048242919809116</v>
      </c>
    </row>
    <row r="293" spans="1:13" x14ac:dyDescent="0.3">
      <c r="A293" t="s">
        <v>300</v>
      </c>
      <c r="B293" t="s">
        <v>909</v>
      </c>
      <c r="C293">
        <v>15.7</v>
      </c>
      <c r="D293">
        <v>19308931.25</v>
      </c>
      <c r="E293">
        <v>34561389.5</v>
      </c>
      <c r="F293">
        <v>34420335.25</v>
      </c>
      <c r="G293">
        <v>8</v>
      </c>
      <c r="H293">
        <v>10</v>
      </c>
      <c r="I293">
        <v>10</v>
      </c>
      <c r="J293">
        <v>8.5979572887650875</v>
      </c>
      <c r="K293">
        <v>9.936278394083466</v>
      </c>
      <c r="L293">
        <v>9.4061572120643842</v>
      </c>
      <c r="M293">
        <f t="shared" si="4"/>
        <v>9.3134642983043125</v>
      </c>
    </row>
    <row r="294" spans="1:13" x14ac:dyDescent="0.3">
      <c r="A294" t="s">
        <v>301</v>
      </c>
      <c r="B294" t="s">
        <v>910</v>
      </c>
      <c r="C294">
        <v>45.6</v>
      </c>
      <c r="D294">
        <v>2489063.75</v>
      </c>
      <c r="E294">
        <v>2490407.8125</v>
      </c>
      <c r="F294">
        <v>3464087.75</v>
      </c>
      <c r="G294">
        <v>30</v>
      </c>
      <c r="H294">
        <v>33</v>
      </c>
      <c r="I294">
        <v>30</v>
      </c>
      <c r="J294">
        <v>32.242339832869078</v>
      </c>
      <c r="K294">
        <v>32.789718700475433</v>
      </c>
      <c r="L294">
        <v>28.218471636193151</v>
      </c>
      <c r="M294">
        <f t="shared" si="4"/>
        <v>31.083510056512552</v>
      </c>
    </row>
    <row r="295" spans="1:13" x14ac:dyDescent="0.3">
      <c r="A295" t="s">
        <v>302</v>
      </c>
      <c r="B295" t="s">
        <v>911</v>
      </c>
      <c r="C295">
        <v>29</v>
      </c>
      <c r="D295">
        <v>7269186.75</v>
      </c>
      <c r="E295">
        <v>5538609.28125</v>
      </c>
      <c r="F295">
        <v>5348088.25</v>
      </c>
      <c r="G295">
        <v>9</v>
      </c>
      <c r="H295">
        <v>7</v>
      </c>
      <c r="I295">
        <v>5</v>
      </c>
      <c r="J295">
        <v>9.6727019498607234</v>
      </c>
      <c r="K295">
        <v>6.9553948758584259</v>
      </c>
      <c r="L295">
        <v>4.7030786060321921</v>
      </c>
      <c r="M295">
        <f t="shared" si="4"/>
        <v>7.1103918105837804</v>
      </c>
    </row>
    <row r="296" spans="1:13" x14ac:dyDescent="0.3">
      <c r="A296" t="s">
        <v>303</v>
      </c>
      <c r="B296" t="s">
        <v>912</v>
      </c>
      <c r="C296">
        <v>22.4</v>
      </c>
      <c r="D296">
        <v>19976872.6171875</v>
      </c>
      <c r="E296">
        <v>23488672.5625</v>
      </c>
      <c r="F296">
        <v>27798753.25</v>
      </c>
      <c r="G296">
        <v>9</v>
      </c>
      <c r="H296">
        <v>11</v>
      </c>
      <c r="I296">
        <v>11</v>
      </c>
      <c r="J296">
        <v>9.6727019498607234</v>
      </c>
      <c r="K296">
        <v>10.92990623349181</v>
      </c>
      <c r="L296">
        <v>10.34677293327082</v>
      </c>
      <c r="M296">
        <f t="shared" si="4"/>
        <v>10.316460372207784</v>
      </c>
    </row>
    <row r="297" spans="1:13" x14ac:dyDescent="0.3">
      <c r="A297" t="s">
        <v>304</v>
      </c>
      <c r="B297" t="s">
        <v>685</v>
      </c>
      <c r="C297">
        <v>49.3</v>
      </c>
      <c r="D297">
        <v>5469094.9375</v>
      </c>
      <c r="E297">
        <v>7604069.1875</v>
      </c>
      <c r="F297">
        <v>12549191.75</v>
      </c>
      <c r="G297">
        <v>21</v>
      </c>
      <c r="H297">
        <v>26</v>
      </c>
      <c r="I297">
        <v>30</v>
      </c>
      <c r="J297">
        <v>22.569637883008351</v>
      </c>
      <c r="K297">
        <v>25.834323824617009</v>
      </c>
      <c r="L297">
        <v>28.218471636193151</v>
      </c>
      <c r="M297">
        <f t="shared" si="4"/>
        <v>25.540811114606168</v>
      </c>
    </row>
    <row r="298" spans="1:13" x14ac:dyDescent="0.3">
      <c r="A298" t="s">
        <v>305</v>
      </c>
      <c r="B298" t="s">
        <v>913</v>
      </c>
      <c r="C298">
        <v>85.3</v>
      </c>
      <c r="D298">
        <v>4387580.5</v>
      </c>
      <c r="E298">
        <v>3481132.5</v>
      </c>
      <c r="F298">
        <v>9891984.96875</v>
      </c>
      <c r="G298">
        <v>6</v>
      </c>
      <c r="H298">
        <v>5</v>
      </c>
      <c r="I298">
        <v>11</v>
      </c>
      <c r="J298">
        <v>6.4484679665738156</v>
      </c>
      <c r="K298">
        <v>4.968139197041733</v>
      </c>
      <c r="L298">
        <v>10.34677293327082</v>
      </c>
      <c r="M298">
        <f t="shared" si="4"/>
        <v>7.254460032295456</v>
      </c>
    </row>
    <row r="299" spans="1:13" x14ac:dyDescent="0.3">
      <c r="A299" t="s">
        <v>306</v>
      </c>
      <c r="B299" t="s">
        <v>914</v>
      </c>
      <c r="C299">
        <v>46</v>
      </c>
      <c r="D299">
        <v>31917165.8125</v>
      </c>
      <c r="E299">
        <v>30772830.4375</v>
      </c>
      <c r="F299">
        <v>39608156.875</v>
      </c>
      <c r="G299">
        <v>31</v>
      </c>
      <c r="H299">
        <v>27</v>
      </c>
      <c r="I299">
        <v>29</v>
      </c>
      <c r="J299">
        <v>33.317084493964707</v>
      </c>
      <c r="K299">
        <v>26.827951664025349</v>
      </c>
      <c r="L299">
        <v>27.277855914986709</v>
      </c>
      <c r="M299">
        <f t="shared" si="4"/>
        <v>29.140964024325587</v>
      </c>
    </row>
    <row r="300" spans="1:13" x14ac:dyDescent="0.3">
      <c r="A300" t="s">
        <v>307</v>
      </c>
      <c r="B300" t="s">
        <v>915</v>
      </c>
      <c r="C300">
        <v>47.7</v>
      </c>
      <c r="D300">
        <v>0</v>
      </c>
      <c r="E300">
        <v>0</v>
      </c>
      <c r="F300">
        <v>0</v>
      </c>
      <c r="G300">
        <v>13</v>
      </c>
      <c r="J300">
        <v>13.971680594243271</v>
      </c>
      <c r="K300" t="s">
        <v>1184</v>
      </c>
      <c r="L300" t="s">
        <v>1184</v>
      </c>
      <c r="M300">
        <f t="shared" si="4"/>
        <v>13.971680594243271</v>
      </c>
    </row>
    <row r="301" spans="1:13" x14ac:dyDescent="0.3">
      <c r="A301" t="s">
        <v>308</v>
      </c>
      <c r="B301" t="s">
        <v>916</v>
      </c>
      <c r="C301">
        <v>46.7</v>
      </c>
      <c r="D301">
        <v>2049162.75</v>
      </c>
      <c r="E301">
        <v>0</v>
      </c>
      <c r="F301">
        <v>0</v>
      </c>
      <c r="G301">
        <v>3</v>
      </c>
      <c r="J301">
        <v>3.2242339832869078</v>
      </c>
      <c r="K301" t="s">
        <v>1184</v>
      </c>
      <c r="L301" t="s">
        <v>1184</v>
      </c>
      <c r="M301">
        <f t="shared" si="4"/>
        <v>3.2242339832869078</v>
      </c>
    </row>
    <row r="302" spans="1:13" x14ac:dyDescent="0.3">
      <c r="A302" t="s">
        <v>309</v>
      </c>
      <c r="B302" t="s">
        <v>685</v>
      </c>
      <c r="C302">
        <v>27.1</v>
      </c>
      <c r="D302">
        <v>25665513.792968798</v>
      </c>
      <c r="E302">
        <v>20949251.96875</v>
      </c>
      <c r="F302">
        <v>25878291.0625</v>
      </c>
      <c r="G302">
        <v>23</v>
      </c>
      <c r="H302">
        <v>20</v>
      </c>
      <c r="I302">
        <v>21</v>
      </c>
      <c r="J302">
        <v>24.71912720519963</v>
      </c>
      <c r="K302">
        <v>19.872556788166928</v>
      </c>
      <c r="L302">
        <v>19.75293014533521</v>
      </c>
      <c r="M302">
        <f t="shared" si="4"/>
        <v>21.448204712900591</v>
      </c>
    </row>
    <row r="303" spans="1:13" x14ac:dyDescent="0.3">
      <c r="A303" t="s">
        <v>310</v>
      </c>
      <c r="B303" t="s">
        <v>917</v>
      </c>
      <c r="C303">
        <v>40.299999999999997</v>
      </c>
      <c r="D303">
        <v>6750795.375</v>
      </c>
      <c r="E303">
        <v>8763604.9375</v>
      </c>
      <c r="F303">
        <v>10506727.875</v>
      </c>
      <c r="G303">
        <v>8</v>
      </c>
      <c r="H303">
        <v>10</v>
      </c>
      <c r="I303">
        <v>10</v>
      </c>
      <c r="J303">
        <v>8.5979572887650875</v>
      </c>
      <c r="K303">
        <v>9.936278394083466</v>
      </c>
      <c r="L303">
        <v>9.4061572120643842</v>
      </c>
      <c r="M303">
        <f t="shared" si="4"/>
        <v>9.3134642983043125</v>
      </c>
    </row>
    <row r="304" spans="1:13" x14ac:dyDescent="0.3">
      <c r="A304" t="s">
        <v>311</v>
      </c>
      <c r="B304" t="s">
        <v>918</v>
      </c>
      <c r="C304">
        <v>29.2</v>
      </c>
      <c r="D304">
        <v>133190.984375</v>
      </c>
      <c r="E304">
        <v>205839.390625</v>
      </c>
      <c r="F304">
        <v>0</v>
      </c>
      <c r="G304">
        <v>4</v>
      </c>
      <c r="H304">
        <v>3</v>
      </c>
      <c r="I304">
        <v>3</v>
      </c>
      <c r="J304">
        <v>4.2989786443825437</v>
      </c>
      <c r="K304">
        <v>2.9808835182250402</v>
      </c>
      <c r="L304">
        <v>2.821847163619315</v>
      </c>
      <c r="M304">
        <f t="shared" si="4"/>
        <v>3.3672364420756331</v>
      </c>
    </row>
    <row r="305" spans="1:13" x14ac:dyDescent="0.3">
      <c r="A305" t="s">
        <v>312</v>
      </c>
      <c r="B305" t="s">
        <v>919</v>
      </c>
      <c r="C305">
        <v>36.1</v>
      </c>
      <c r="D305">
        <v>752665.3125</v>
      </c>
      <c r="E305">
        <v>0</v>
      </c>
      <c r="F305">
        <v>1429240.125</v>
      </c>
      <c r="G305">
        <v>13</v>
      </c>
      <c r="I305">
        <v>13</v>
      </c>
      <c r="J305">
        <v>13.971680594243271</v>
      </c>
      <c r="K305" t="s">
        <v>1184</v>
      </c>
      <c r="L305">
        <v>12.2280043756837</v>
      </c>
      <c r="M305">
        <f t="shared" si="4"/>
        <v>13.099842484963485</v>
      </c>
    </row>
    <row r="306" spans="1:13" x14ac:dyDescent="0.3">
      <c r="A306" t="s">
        <v>313</v>
      </c>
      <c r="B306" t="s">
        <v>920</v>
      </c>
      <c r="C306">
        <v>16.5</v>
      </c>
      <c r="D306">
        <v>1992022.625</v>
      </c>
      <c r="E306">
        <v>2462433.09375</v>
      </c>
      <c r="F306">
        <v>2877983.15625</v>
      </c>
      <c r="G306">
        <v>3</v>
      </c>
      <c r="H306">
        <v>3</v>
      </c>
      <c r="I306">
        <v>4</v>
      </c>
      <c r="J306">
        <v>3.2242339832869078</v>
      </c>
      <c r="K306">
        <v>2.9808835182250402</v>
      </c>
      <c r="L306">
        <v>3.7624628848257542</v>
      </c>
      <c r="M306">
        <f t="shared" si="4"/>
        <v>3.3225267954459006</v>
      </c>
    </row>
    <row r="307" spans="1:13" x14ac:dyDescent="0.3">
      <c r="A307" t="s">
        <v>314</v>
      </c>
      <c r="B307" t="s">
        <v>921</v>
      </c>
      <c r="C307">
        <v>33.5</v>
      </c>
      <c r="D307">
        <v>1953598.9375</v>
      </c>
      <c r="E307">
        <v>3312079</v>
      </c>
      <c r="F307">
        <v>3677646.375</v>
      </c>
      <c r="G307">
        <v>3</v>
      </c>
      <c r="H307">
        <v>3</v>
      </c>
      <c r="I307">
        <v>4</v>
      </c>
      <c r="J307">
        <v>3.2242339832869078</v>
      </c>
      <c r="K307">
        <v>2.9808835182250402</v>
      </c>
      <c r="L307">
        <v>3.7624628848257542</v>
      </c>
      <c r="M307">
        <f t="shared" si="4"/>
        <v>3.3225267954459006</v>
      </c>
    </row>
    <row r="308" spans="1:13" x14ac:dyDescent="0.3">
      <c r="A308" t="s">
        <v>315</v>
      </c>
      <c r="B308" t="s">
        <v>685</v>
      </c>
      <c r="C308">
        <v>29.5</v>
      </c>
      <c r="D308">
        <v>6296250.75</v>
      </c>
      <c r="E308">
        <v>8064644.625</v>
      </c>
      <c r="F308">
        <v>7756017.375</v>
      </c>
      <c r="G308">
        <v>6</v>
      </c>
      <c r="H308">
        <v>7</v>
      </c>
      <c r="I308">
        <v>8</v>
      </c>
      <c r="J308">
        <v>6.4484679665738156</v>
      </c>
      <c r="K308">
        <v>6.9553948758584259</v>
      </c>
      <c r="L308">
        <v>7.5249257696515084</v>
      </c>
      <c r="M308">
        <f t="shared" si="4"/>
        <v>6.9762628706945833</v>
      </c>
    </row>
    <row r="309" spans="1:13" x14ac:dyDescent="0.3">
      <c r="A309" t="s">
        <v>316</v>
      </c>
      <c r="B309" t="s">
        <v>922</v>
      </c>
      <c r="C309">
        <v>29.3</v>
      </c>
      <c r="D309">
        <v>2504705.6875</v>
      </c>
      <c r="E309">
        <v>4075309.5</v>
      </c>
      <c r="F309">
        <v>5275062.0625</v>
      </c>
      <c r="G309">
        <v>25</v>
      </c>
      <c r="H309">
        <v>26</v>
      </c>
      <c r="I309">
        <v>26</v>
      </c>
      <c r="J309">
        <v>26.868616527390898</v>
      </c>
      <c r="K309">
        <v>25.834323824617009</v>
      </c>
      <c r="L309">
        <v>24.456008751367399</v>
      </c>
      <c r="M309">
        <f t="shared" si="4"/>
        <v>25.719649701125103</v>
      </c>
    </row>
    <row r="310" spans="1:13" x14ac:dyDescent="0.3">
      <c r="A310" t="s">
        <v>317</v>
      </c>
      <c r="B310" t="s">
        <v>923</v>
      </c>
      <c r="C310">
        <v>39.4</v>
      </c>
      <c r="D310">
        <v>4678679.125</v>
      </c>
      <c r="E310">
        <v>4794088.25</v>
      </c>
      <c r="F310">
        <v>4405403</v>
      </c>
      <c r="G310">
        <v>21</v>
      </c>
      <c r="H310">
        <v>22</v>
      </c>
      <c r="I310">
        <v>22</v>
      </c>
      <c r="J310">
        <v>22.569637883008351</v>
      </c>
      <c r="K310">
        <v>21.85981246698362</v>
      </c>
      <c r="L310">
        <v>20.693545866541651</v>
      </c>
      <c r="M310">
        <f t="shared" si="4"/>
        <v>21.707665405511207</v>
      </c>
    </row>
    <row r="311" spans="1:13" x14ac:dyDescent="0.3">
      <c r="A311" t="s">
        <v>318</v>
      </c>
      <c r="B311" t="s">
        <v>924</v>
      </c>
      <c r="C311">
        <v>46.2</v>
      </c>
      <c r="D311">
        <v>1724171.8125</v>
      </c>
      <c r="E311">
        <v>4720614.0625</v>
      </c>
      <c r="F311">
        <v>5523603.3125</v>
      </c>
      <c r="G311">
        <v>8</v>
      </c>
      <c r="H311">
        <v>7</v>
      </c>
      <c r="I311">
        <v>9</v>
      </c>
      <c r="J311">
        <v>8.5979572887650875</v>
      </c>
      <c r="K311">
        <v>6.9553948758584259</v>
      </c>
      <c r="L311">
        <v>8.4655414908579463</v>
      </c>
      <c r="M311">
        <f t="shared" si="4"/>
        <v>8.0062978851604871</v>
      </c>
    </row>
    <row r="312" spans="1:13" x14ac:dyDescent="0.3">
      <c r="A312" t="s">
        <v>319</v>
      </c>
      <c r="B312" t="s">
        <v>925</v>
      </c>
      <c r="C312">
        <v>30.3</v>
      </c>
      <c r="D312">
        <v>3061005.375</v>
      </c>
      <c r="E312">
        <v>1024477</v>
      </c>
      <c r="F312">
        <v>2966857.375</v>
      </c>
      <c r="G312">
        <v>23</v>
      </c>
      <c r="H312">
        <v>19</v>
      </c>
      <c r="I312">
        <v>24</v>
      </c>
      <c r="J312">
        <v>24.71912720519963</v>
      </c>
      <c r="K312">
        <v>18.878928948758581</v>
      </c>
      <c r="L312">
        <v>22.57477730895452</v>
      </c>
      <c r="M312">
        <f t="shared" si="4"/>
        <v>22.057611154304244</v>
      </c>
    </row>
    <row r="313" spans="1:13" x14ac:dyDescent="0.3">
      <c r="A313" t="s">
        <v>320</v>
      </c>
      <c r="B313" t="s">
        <v>685</v>
      </c>
      <c r="C313">
        <v>16.8</v>
      </c>
      <c r="D313">
        <v>1713438.5</v>
      </c>
      <c r="E313">
        <v>0</v>
      </c>
      <c r="F313">
        <v>2629075.8125</v>
      </c>
      <c r="G313">
        <v>4</v>
      </c>
      <c r="I313">
        <v>3</v>
      </c>
      <c r="J313">
        <v>4.2989786443825437</v>
      </c>
      <c r="K313" t="s">
        <v>1184</v>
      </c>
      <c r="L313">
        <v>2.821847163619315</v>
      </c>
      <c r="M313">
        <f t="shared" si="4"/>
        <v>3.5604129040009296</v>
      </c>
    </row>
    <row r="314" spans="1:13" x14ac:dyDescent="0.3">
      <c r="A314" t="s">
        <v>321</v>
      </c>
      <c r="B314" t="s">
        <v>926</v>
      </c>
      <c r="C314">
        <v>106.9</v>
      </c>
      <c r="D314">
        <v>4654594.125</v>
      </c>
      <c r="E314">
        <v>16614118.0625</v>
      </c>
      <c r="F314">
        <v>18916571.40625</v>
      </c>
      <c r="G314">
        <v>14</v>
      </c>
      <c r="H314">
        <v>15</v>
      </c>
      <c r="I314">
        <v>21</v>
      </c>
      <c r="J314">
        <v>15.0464252553389</v>
      </c>
      <c r="K314">
        <v>14.904417591125201</v>
      </c>
      <c r="L314">
        <v>19.75293014533521</v>
      </c>
      <c r="M314">
        <f t="shared" si="4"/>
        <v>16.567924330599769</v>
      </c>
    </row>
    <row r="315" spans="1:13" x14ac:dyDescent="0.3">
      <c r="A315" t="s">
        <v>322</v>
      </c>
      <c r="B315" t="s">
        <v>927</v>
      </c>
      <c r="C315">
        <v>33.200000000000003</v>
      </c>
      <c r="D315">
        <v>9838185.625</v>
      </c>
      <c r="E315">
        <v>11540108.5</v>
      </c>
      <c r="F315">
        <v>18923366</v>
      </c>
      <c r="G315">
        <v>9</v>
      </c>
      <c r="H315">
        <v>11</v>
      </c>
      <c r="I315">
        <v>14</v>
      </c>
      <c r="J315">
        <v>9.6727019498607234</v>
      </c>
      <c r="K315">
        <v>10.92990623349181</v>
      </c>
      <c r="L315">
        <v>13.168620096890139</v>
      </c>
      <c r="M315">
        <f t="shared" si="4"/>
        <v>11.257076093414225</v>
      </c>
    </row>
    <row r="316" spans="1:13" x14ac:dyDescent="0.3">
      <c r="A316" t="s">
        <v>323</v>
      </c>
      <c r="B316" t="s">
        <v>685</v>
      </c>
      <c r="C316">
        <v>43.6</v>
      </c>
      <c r="D316">
        <v>1139149.75</v>
      </c>
      <c r="E316">
        <v>947979.671875</v>
      </c>
      <c r="F316">
        <v>1548076.078125</v>
      </c>
      <c r="G316">
        <v>2</v>
      </c>
      <c r="H316">
        <v>3</v>
      </c>
      <c r="I316">
        <v>5</v>
      </c>
      <c r="J316">
        <v>2.1494893221912719</v>
      </c>
      <c r="K316">
        <v>2.9808835182250402</v>
      </c>
      <c r="L316">
        <v>4.7030786060321921</v>
      </c>
      <c r="M316">
        <f t="shared" si="4"/>
        <v>3.2778171488161676</v>
      </c>
    </row>
    <row r="317" spans="1:13" x14ac:dyDescent="0.3">
      <c r="A317" t="s">
        <v>324</v>
      </c>
      <c r="B317" t="s">
        <v>685</v>
      </c>
      <c r="C317">
        <v>46.6</v>
      </c>
      <c r="D317">
        <v>882895.4375</v>
      </c>
      <c r="E317">
        <v>9519136.21875</v>
      </c>
      <c r="F317">
        <v>4460309.8125</v>
      </c>
      <c r="G317">
        <v>4</v>
      </c>
      <c r="H317">
        <v>9</v>
      </c>
      <c r="I317">
        <v>6</v>
      </c>
      <c r="J317">
        <v>4.2989786443825437</v>
      </c>
      <c r="K317">
        <v>8.9426505546751187</v>
      </c>
      <c r="L317">
        <v>5.6436943272386308</v>
      </c>
      <c r="M317">
        <f t="shared" si="4"/>
        <v>6.2951078420987647</v>
      </c>
    </row>
    <row r="318" spans="1:13" x14ac:dyDescent="0.3">
      <c r="A318" t="s">
        <v>325</v>
      </c>
      <c r="B318" t="s">
        <v>685</v>
      </c>
      <c r="C318">
        <v>31.3</v>
      </c>
      <c r="D318">
        <v>2627660.5</v>
      </c>
      <c r="E318">
        <v>0</v>
      </c>
      <c r="F318">
        <v>0</v>
      </c>
      <c r="G318">
        <v>5</v>
      </c>
      <c r="J318">
        <v>5.3737233054781806</v>
      </c>
      <c r="K318" t="s">
        <v>1184</v>
      </c>
      <c r="L318" t="s">
        <v>1184</v>
      </c>
      <c r="M318">
        <f t="shared" si="4"/>
        <v>5.3737233054781806</v>
      </c>
    </row>
    <row r="319" spans="1:13" x14ac:dyDescent="0.3">
      <c r="A319" t="s">
        <v>326</v>
      </c>
      <c r="B319" t="s">
        <v>685</v>
      </c>
      <c r="C319">
        <v>29.7</v>
      </c>
      <c r="D319">
        <v>90967940.90625</v>
      </c>
      <c r="E319">
        <v>89326114.5</v>
      </c>
      <c r="F319">
        <v>99056085.8125</v>
      </c>
      <c r="G319">
        <v>28</v>
      </c>
      <c r="H319">
        <v>27</v>
      </c>
      <c r="I319">
        <v>28</v>
      </c>
      <c r="J319">
        <v>30.09285051067781</v>
      </c>
      <c r="K319">
        <v>26.827951664025349</v>
      </c>
      <c r="L319">
        <v>26.337240193780278</v>
      </c>
      <c r="M319">
        <f t="shared" si="4"/>
        <v>27.752680789494477</v>
      </c>
    </row>
    <row r="320" spans="1:13" x14ac:dyDescent="0.3">
      <c r="A320" t="s">
        <v>327</v>
      </c>
      <c r="B320" t="s">
        <v>685</v>
      </c>
      <c r="C320">
        <v>17.600000000000001</v>
      </c>
      <c r="D320">
        <v>2379153</v>
      </c>
      <c r="E320">
        <v>3001303</v>
      </c>
      <c r="F320">
        <v>3394865.25</v>
      </c>
      <c r="G320">
        <v>3</v>
      </c>
      <c r="H320">
        <v>2</v>
      </c>
      <c r="I320">
        <v>2</v>
      </c>
      <c r="J320">
        <v>3.2242339832869078</v>
      </c>
      <c r="K320">
        <v>1.9872556788166931</v>
      </c>
      <c r="L320">
        <v>1.8812314424128771</v>
      </c>
      <c r="M320">
        <f t="shared" si="4"/>
        <v>2.3642403681721595</v>
      </c>
    </row>
    <row r="321" spans="1:13" x14ac:dyDescent="0.3">
      <c r="A321" t="s">
        <v>328</v>
      </c>
      <c r="B321" t="s">
        <v>685</v>
      </c>
      <c r="C321">
        <v>34.299999999999997</v>
      </c>
      <c r="D321">
        <v>7961286.8125</v>
      </c>
      <c r="E321">
        <v>2164852.875</v>
      </c>
      <c r="F321">
        <v>4747989.75</v>
      </c>
      <c r="G321">
        <v>13</v>
      </c>
      <c r="H321">
        <v>9</v>
      </c>
      <c r="I321">
        <v>13</v>
      </c>
      <c r="J321">
        <v>13.971680594243271</v>
      </c>
      <c r="K321">
        <v>8.9426505546751187</v>
      </c>
      <c r="L321">
        <v>12.2280043756837</v>
      </c>
      <c r="M321">
        <f t="shared" si="4"/>
        <v>11.714111841534029</v>
      </c>
    </row>
    <row r="322" spans="1:13" x14ac:dyDescent="0.3">
      <c r="A322" t="s">
        <v>329</v>
      </c>
      <c r="B322" t="s">
        <v>685</v>
      </c>
      <c r="C322">
        <v>22.8</v>
      </c>
      <c r="D322">
        <v>15019431.3359375</v>
      </c>
      <c r="E322">
        <v>21703711.0625</v>
      </c>
      <c r="F322">
        <v>18948301.65625</v>
      </c>
      <c r="G322">
        <v>15</v>
      </c>
      <c r="H322">
        <v>16</v>
      </c>
      <c r="I322">
        <v>17</v>
      </c>
      <c r="J322">
        <v>16.121169916434539</v>
      </c>
      <c r="K322">
        <v>15.898045430533539</v>
      </c>
      <c r="L322">
        <v>15.990467260509449</v>
      </c>
      <c r="M322">
        <f t="shared" si="4"/>
        <v>16.003227535825843</v>
      </c>
    </row>
    <row r="323" spans="1:13" x14ac:dyDescent="0.3">
      <c r="A323" t="s">
        <v>330</v>
      </c>
      <c r="B323" t="s">
        <v>685</v>
      </c>
      <c r="C323">
        <v>13.2</v>
      </c>
      <c r="D323">
        <v>1086383.5</v>
      </c>
      <c r="E323">
        <v>1171908.75</v>
      </c>
      <c r="F323">
        <v>1155585.5</v>
      </c>
      <c r="G323">
        <v>6</v>
      </c>
      <c r="H323">
        <v>5</v>
      </c>
      <c r="I323">
        <v>6</v>
      </c>
      <c r="J323">
        <v>6.4484679665738156</v>
      </c>
      <c r="K323">
        <v>4.968139197041733</v>
      </c>
      <c r="L323">
        <v>5.6436943272386308</v>
      </c>
      <c r="M323">
        <f t="shared" si="4"/>
        <v>5.6867671636180601</v>
      </c>
    </row>
    <row r="324" spans="1:13" x14ac:dyDescent="0.3">
      <c r="A324" t="s">
        <v>331</v>
      </c>
      <c r="B324" t="s">
        <v>685</v>
      </c>
      <c r="C324">
        <v>39</v>
      </c>
      <c r="D324">
        <v>18647697.75</v>
      </c>
      <c r="E324">
        <v>10410505.75</v>
      </c>
      <c r="F324">
        <v>11323136.25</v>
      </c>
      <c r="G324">
        <v>5</v>
      </c>
      <c r="H324">
        <v>4</v>
      </c>
      <c r="I324">
        <v>7</v>
      </c>
      <c r="J324">
        <v>5.3737233054781806</v>
      </c>
      <c r="K324">
        <v>3.9745113576333861</v>
      </c>
      <c r="L324">
        <v>6.5843100484450696</v>
      </c>
      <c r="M324">
        <f t="shared" ref="M324:M387" si="5">AVERAGE(J324:L324)</f>
        <v>5.3108482371855459</v>
      </c>
    </row>
    <row r="325" spans="1:13" x14ac:dyDescent="0.3">
      <c r="A325" t="s">
        <v>332</v>
      </c>
      <c r="B325" t="s">
        <v>685</v>
      </c>
      <c r="C325">
        <v>24.8</v>
      </c>
      <c r="D325">
        <v>1940671.71875</v>
      </c>
      <c r="E325">
        <v>2038691.5</v>
      </c>
      <c r="F325">
        <v>2969641.6875</v>
      </c>
      <c r="G325">
        <v>3</v>
      </c>
      <c r="H325">
        <v>4</v>
      </c>
      <c r="I325">
        <v>3</v>
      </c>
      <c r="J325">
        <v>3.2242339832869078</v>
      </c>
      <c r="K325">
        <v>3.9745113576333861</v>
      </c>
      <c r="L325">
        <v>2.821847163619315</v>
      </c>
      <c r="M325">
        <f t="shared" si="5"/>
        <v>3.3401975015132028</v>
      </c>
    </row>
    <row r="326" spans="1:13" x14ac:dyDescent="0.3">
      <c r="A326" t="s">
        <v>333</v>
      </c>
      <c r="B326" t="s">
        <v>685</v>
      </c>
      <c r="C326">
        <v>32.1</v>
      </c>
      <c r="D326">
        <v>3613663.75</v>
      </c>
      <c r="E326">
        <v>7675151.125</v>
      </c>
      <c r="F326">
        <v>8995902.4375</v>
      </c>
      <c r="G326">
        <v>6</v>
      </c>
      <c r="H326">
        <v>3</v>
      </c>
      <c r="I326">
        <v>6</v>
      </c>
      <c r="J326">
        <v>6.4484679665738156</v>
      </c>
      <c r="K326">
        <v>2.9808835182250402</v>
      </c>
      <c r="L326">
        <v>5.6436943272386308</v>
      </c>
      <c r="M326">
        <f t="shared" si="5"/>
        <v>5.0243486040124958</v>
      </c>
    </row>
    <row r="327" spans="1:13" x14ac:dyDescent="0.3">
      <c r="A327" t="s">
        <v>334</v>
      </c>
      <c r="B327" t="s">
        <v>685</v>
      </c>
      <c r="C327">
        <v>15.1</v>
      </c>
      <c r="D327">
        <v>4090394.9375</v>
      </c>
      <c r="E327">
        <v>5269671</v>
      </c>
      <c r="F327">
        <v>6131147.125</v>
      </c>
      <c r="G327">
        <v>5</v>
      </c>
      <c r="H327">
        <v>5</v>
      </c>
      <c r="I327">
        <v>6</v>
      </c>
      <c r="J327">
        <v>5.3737233054781806</v>
      </c>
      <c r="K327">
        <v>4.968139197041733</v>
      </c>
      <c r="L327">
        <v>5.6436943272386308</v>
      </c>
      <c r="M327">
        <f t="shared" si="5"/>
        <v>5.3285189432528481</v>
      </c>
    </row>
    <row r="328" spans="1:13" x14ac:dyDescent="0.3">
      <c r="A328" t="s">
        <v>335</v>
      </c>
      <c r="B328" t="s">
        <v>685</v>
      </c>
      <c r="C328">
        <v>15.2</v>
      </c>
      <c r="D328">
        <v>879515.41015625</v>
      </c>
      <c r="E328">
        <v>14602469.3125</v>
      </c>
      <c r="F328">
        <v>24254191</v>
      </c>
      <c r="G328">
        <v>4</v>
      </c>
      <c r="H328">
        <v>9</v>
      </c>
      <c r="I328">
        <v>8</v>
      </c>
      <c r="J328">
        <v>4.2989786443825437</v>
      </c>
      <c r="K328">
        <v>8.9426505546751187</v>
      </c>
      <c r="L328">
        <v>7.5249257696515084</v>
      </c>
      <c r="M328">
        <f t="shared" si="5"/>
        <v>6.9221849895697245</v>
      </c>
    </row>
    <row r="329" spans="1:13" x14ac:dyDescent="0.3">
      <c r="A329" t="s">
        <v>336</v>
      </c>
      <c r="B329" t="s">
        <v>685</v>
      </c>
      <c r="C329">
        <v>35.700000000000003</v>
      </c>
      <c r="D329">
        <v>6478265.375</v>
      </c>
      <c r="E329">
        <v>6836627.3125</v>
      </c>
      <c r="F329">
        <v>11972515.75</v>
      </c>
      <c r="G329">
        <v>37</v>
      </c>
      <c r="H329">
        <v>41</v>
      </c>
      <c r="I329">
        <v>42</v>
      </c>
      <c r="J329">
        <v>39.76555246053853</v>
      </c>
      <c r="K329">
        <v>40.738741415742197</v>
      </c>
      <c r="L329">
        <v>39.505860290670412</v>
      </c>
      <c r="M329">
        <f t="shared" si="5"/>
        <v>40.003384722317044</v>
      </c>
    </row>
    <row r="330" spans="1:13" x14ac:dyDescent="0.3">
      <c r="A330" t="s">
        <v>337</v>
      </c>
      <c r="B330" t="s">
        <v>685</v>
      </c>
      <c r="C330">
        <v>16.600000000000001</v>
      </c>
      <c r="D330">
        <v>6978677.5</v>
      </c>
      <c r="E330">
        <v>6327142</v>
      </c>
      <c r="F330">
        <v>6677021.5</v>
      </c>
      <c r="G330">
        <v>12</v>
      </c>
      <c r="H330">
        <v>14</v>
      </c>
      <c r="I330">
        <v>12</v>
      </c>
      <c r="J330">
        <v>12.896935933147629</v>
      </c>
      <c r="K330">
        <v>13.91078975171685</v>
      </c>
      <c r="L330">
        <v>11.28738865447726</v>
      </c>
      <c r="M330">
        <f t="shared" si="5"/>
        <v>12.698371446447247</v>
      </c>
    </row>
    <row r="331" spans="1:13" x14ac:dyDescent="0.3">
      <c r="A331" t="s">
        <v>338</v>
      </c>
      <c r="B331" t="s">
        <v>685</v>
      </c>
      <c r="C331">
        <v>80.8</v>
      </c>
      <c r="D331">
        <v>2980172.71875</v>
      </c>
      <c r="E331">
        <v>3347264.8125</v>
      </c>
      <c r="F331">
        <v>4145431</v>
      </c>
      <c r="G331">
        <v>9</v>
      </c>
      <c r="H331">
        <v>9</v>
      </c>
      <c r="I331">
        <v>9</v>
      </c>
      <c r="J331">
        <v>9.6727019498607234</v>
      </c>
      <c r="K331">
        <v>8.9426505546751187</v>
      </c>
      <c r="L331">
        <v>8.4655414908579463</v>
      </c>
      <c r="M331">
        <f t="shared" si="5"/>
        <v>9.0269646651312616</v>
      </c>
    </row>
    <row r="332" spans="1:13" x14ac:dyDescent="0.3">
      <c r="A332" t="s">
        <v>339</v>
      </c>
      <c r="B332" t="s">
        <v>685</v>
      </c>
      <c r="C332">
        <v>98.4</v>
      </c>
      <c r="D332">
        <v>1710794.390625</v>
      </c>
      <c r="E332">
        <v>632849</v>
      </c>
      <c r="F332">
        <v>1772444.6875</v>
      </c>
      <c r="G332">
        <v>4</v>
      </c>
      <c r="H332">
        <v>6</v>
      </c>
      <c r="I332">
        <v>3</v>
      </c>
      <c r="J332">
        <v>4.2989786443825437</v>
      </c>
      <c r="K332">
        <v>5.9617670364500794</v>
      </c>
      <c r="L332">
        <v>2.821847163619315</v>
      </c>
      <c r="M332">
        <f t="shared" si="5"/>
        <v>4.3608642814839795</v>
      </c>
    </row>
    <row r="333" spans="1:13" x14ac:dyDescent="0.3">
      <c r="A333" t="s">
        <v>340</v>
      </c>
      <c r="B333" t="s">
        <v>685</v>
      </c>
      <c r="C333">
        <v>113.4</v>
      </c>
      <c r="D333">
        <v>5921430.859375</v>
      </c>
      <c r="E333">
        <v>5566826.5</v>
      </c>
      <c r="F333">
        <v>3825530.96875</v>
      </c>
      <c r="G333">
        <v>50</v>
      </c>
      <c r="H333">
        <v>54</v>
      </c>
      <c r="I333">
        <v>45</v>
      </c>
      <c r="J333">
        <v>53.737233054781797</v>
      </c>
      <c r="K333">
        <v>53.655903328050712</v>
      </c>
      <c r="L333">
        <v>42.32770745428973</v>
      </c>
      <c r="M333">
        <f t="shared" si="5"/>
        <v>49.906947945707408</v>
      </c>
    </row>
    <row r="334" spans="1:13" x14ac:dyDescent="0.3">
      <c r="A334" t="s">
        <v>341</v>
      </c>
      <c r="B334" t="s">
        <v>685</v>
      </c>
      <c r="C334">
        <v>74.7</v>
      </c>
      <c r="D334">
        <v>483121.96875</v>
      </c>
      <c r="E334">
        <v>2254455.5</v>
      </c>
      <c r="F334">
        <v>1404895.9375</v>
      </c>
      <c r="G334">
        <v>14</v>
      </c>
      <c r="H334">
        <v>15</v>
      </c>
      <c r="I334">
        <v>15</v>
      </c>
      <c r="J334">
        <v>15.0464252553389</v>
      </c>
      <c r="K334">
        <v>14.904417591125201</v>
      </c>
      <c r="L334">
        <v>14.109235818096581</v>
      </c>
      <c r="M334">
        <f t="shared" si="5"/>
        <v>14.686692888186892</v>
      </c>
    </row>
    <row r="335" spans="1:13" x14ac:dyDescent="0.3">
      <c r="A335" t="s">
        <v>342</v>
      </c>
      <c r="B335" t="s">
        <v>685</v>
      </c>
      <c r="C335">
        <v>17.8</v>
      </c>
      <c r="D335">
        <v>1012898.4375</v>
      </c>
      <c r="E335">
        <v>1094763.625</v>
      </c>
      <c r="F335">
        <v>747934.3125</v>
      </c>
      <c r="G335">
        <v>8</v>
      </c>
      <c r="H335">
        <v>9</v>
      </c>
      <c r="I335">
        <v>7</v>
      </c>
      <c r="J335">
        <v>8.5979572887650875</v>
      </c>
      <c r="K335">
        <v>8.9426505546751187</v>
      </c>
      <c r="L335">
        <v>6.5843100484450696</v>
      </c>
      <c r="M335">
        <f t="shared" si="5"/>
        <v>8.0416392972950916</v>
      </c>
    </row>
    <row r="336" spans="1:13" x14ac:dyDescent="0.3">
      <c r="A336" t="s">
        <v>343</v>
      </c>
      <c r="B336" t="s">
        <v>685</v>
      </c>
      <c r="C336">
        <v>52.8</v>
      </c>
      <c r="D336">
        <v>22572500.519531298</v>
      </c>
      <c r="E336">
        <v>28189013.4375</v>
      </c>
      <c r="F336">
        <v>36411917.6484375</v>
      </c>
      <c r="G336">
        <v>25</v>
      </c>
      <c r="H336">
        <v>27</v>
      </c>
      <c r="I336">
        <v>24</v>
      </c>
      <c r="J336">
        <v>26.868616527390898</v>
      </c>
      <c r="K336">
        <v>26.827951664025349</v>
      </c>
      <c r="L336">
        <v>22.57477730895452</v>
      </c>
      <c r="M336">
        <f t="shared" si="5"/>
        <v>25.423781833456925</v>
      </c>
    </row>
    <row r="337" spans="1:13" x14ac:dyDescent="0.3">
      <c r="A337" t="s">
        <v>344</v>
      </c>
      <c r="B337" t="s">
        <v>685</v>
      </c>
      <c r="C337">
        <v>17.600000000000001</v>
      </c>
      <c r="D337">
        <v>5231745.25</v>
      </c>
      <c r="E337">
        <v>8192749.5</v>
      </c>
      <c r="F337">
        <v>8016806.5</v>
      </c>
      <c r="G337">
        <v>4</v>
      </c>
      <c r="H337">
        <v>4</v>
      </c>
      <c r="I337">
        <v>4</v>
      </c>
      <c r="J337">
        <v>4.2989786443825437</v>
      </c>
      <c r="K337">
        <v>3.9745113576333861</v>
      </c>
      <c r="L337">
        <v>3.7624628848257542</v>
      </c>
      <c r="M337">
        <f t="shared" si="5"/>
        <v>4.0119842956138951</v>
      </c>
    </row>
    <row r="338" spans="1:13" x14ac:dyDescent="0.3">
      <c r="A338" t="s">
        <v>345</v>
      </c>
      <c r="B338" t="s">
        <v>685</v>
      </c>
      <c r="C338">
        <v>60.1</v>
      </c>
      <c r="D338">
        <v>1892940.2890625</v>
      </c>
      <c r="E338">
        <v>1417110.8125</v>
      </c>
      <c r="F338">
        <v>4529022.375</v>
      </c>
      <c r="G338">
        <v>4</v>
      </c>
      <c r="H338">
        <v>4</v>
      </c>
      <c r="I338">
        <v>7</v>
      </c>
      <c r="J338">
        <v>4.2989786443825437</v>
      </c>
      <c r="K338">
        <v>3.9745113576333861</v>
      </c>
      <c r="L338">
        <v>6.5843100484450696</v>
      </c>
      <c r="M338">
        <f t="shared" si="5"/>
        <v>4.952600016820333</v>
      </c>
    </row>
    <row r="339" spans="1:13" x14ac:dyDescent="0.3">
      <c r="A339" t="s">
        <v>346</v>
      </c>
      <c r="B339" t="s">
        <v>685</v>
      </c>
      <c r="C339">
        <v>11.1</v>
      </c>
      <c r="D339">
        <v>6455805.65625</v>
      </c>
      <c r="E339">
        <v>8466300.625</v>
      </c>
      <c r="F339">
        <v>9801567.625</v>
      </c>
      <c r="G339">
        <v>4</v>
      </c>
      <c r="H339">
        <v>7</v>
      </c>
      <c r="I339">
        <v>6</v>
      </c>
      <c r="J339">
        <v>4.2989786443825437</v>
      </c>
      <c r="K339">
        <v>6.9553948758584259</v>
      </c>
      <c r="L339">
        <v>5.6436943272386308</v>
      </c>
      <c r="M339">
        <f t="shared" si="5"/>
        <v>5.6326892824932004</v>
      </c>
    </row>
    <row r="340" spans="1:13" x14ac:dyDescent="0.3">
      <c r="A340" t="s">
        <v>347</v>
      </c>
      <c r="B340" t="s">
        <v>685</v>
      </c>
      <c r="C340">
        <v>29.1</v>
      </c>
      <c r="D340">
        <v>20382957.125</v>
      </c>
      <c r="E340">
        <v>21897150.0625</v>
      </c>
      <c r="F340">
        <v>111367779.25</v>
      </c>
      <c r="G340">
        <v>28</v>
      </c>
      <c r="H340">
        <v>27</v>
      </c>
      <c r="I340">
        <v>26</v>
      </c>
      <c r="J340">
        <v>30.09285051067781</v>
      </c>
      <c r="K340">
        <v>26.827951664025349</v>
      </c>
      <c r="L340">
        <v>24.456008751367399</v>
      </c>
      <c r="M340">
        <f t="shared" si="5"/>
        <v>27.12560364202352</v>
      </c>
    </row>
    <row r="341" spans="1:13" x14ac:dyDescent="0.3">
      <c r="A341" t="s">
        <v>348</v>
      </c>
      <c r="B341" t="s">
        <v>685</v>
      </c>
      <c r="C341">
        <v>27.9</v>
      </c>
      <c r="D341">
        <v>10214852.875</v>
      </c>
      <c r="E341">
        <v>2430396.1875</v>
      </c>
      <c r="F341">
        <v>13369080.9375</v>
      </c>
      <c r="G341">
        <v>10</v>
      </c>
      <c r="H341">
        <v>8</v>
      </c>
      <c r="I341">
        <v>11</v>
      </c>
      <c r="J341">
        <v>10.747446610956359</v>
      </c>
      <c r="K341">
        <v>7.9490227152667723</v>
      </c>
      <c r="L341">
        <v>10.34677293327082</v>
      </c>
      <c r="M341">
        <f t="shared" si="5"/>
        <v>9.6810807531646503</v>
      </c>
    </row>
    <row r="342" spans="1:13" x14ac:dyDescent="0.3">
      <c r="A342" t="s">
        <v>349</v>
      </c>
      <c r="B342" t="s">
        <v>928</v>
      </c>
      <c r="C342">
        <v>21.8</v>
      </c>
      <c r="D342">
        <v>8043113.875</v>
      </c>
      <c r="E342">
        <v>4019335.75</v>
      </c>
      <c r="F342">
        <v>2516372.75</v>
      </c>
      <c r="G342">
        <v>5</v>
      </c>
      <c r="H342">
        <v>5</v>
      </c>
      <c r="I342">
        <v>6</v>
      </c>
      <c r="J342">
        <v>5.3737233054781806</v>
      </c>
      <c r="K342">
        <v>4.968139197041733</v>
      </c>
      <c r="L342">
        <v>5.6436943272386308</v>
      </c>
      <c r="M342">
        <f t="shared" si="5"/>
        <v>5.3285189432528481</v>
      </c>
    </row>
    <row r="343" spans="1:13" x14ac:dyDescent="0.3">
      <c r="A343" t="s">
        <v>350</v>
      </c>
      <c r="B343" t="s">
        <v>929</v>
      </c>
      <c r="C343">
        <v>57</v>
      </c>
      <c r="D343">
        <v>3017819.625</v>
      </c>
      <c r="E343">
        <v>2078570.3125</v>
      </c>
      <c r="F343">
        <v>2591104</v>
      </c>
      <c r="G343">
        <v>5</v>
      </c>
      <c r="H343">
        <v>4</v>
      </c>
      <c r="I343">
        <v>4</v>
      </c>
      <c r="J343">
        <v>5.3737233054781806</v>
      </c>
      <c r="K343">
        <v>3.9745113576333861</v>
      </c>
      <c r="L343">
        <v>3.7624628848257542</v>
      </c>
      <c r="M343">
        <f t="shared" si="5"/>
        <v>4.3702325159791071</v>
      </c>
    </row>
    <row r="344" spans="1:13" x14ac:dyDescent="0.3">
      <c r="A344" t="s">
        <v>351</v>
      </c>
      <c r="B344" t="s">
        <v>930</v>
      </c>
      <c r="C344">
        <v>55.1</v>
      </c>
      <c r="D344">
        <v>1998451.875</v>
      </c>
      <c r="E344">
        <v>3289030.875</v>
      </c>
      <c r="F344">
        <v>2784424.25</v>
      </c>
      <c r="G344">
        <v>26</v>
      </c>
      <c r="H344">
        <v>29</v>
      </c>
      <c r="I344">
        <v>28</v>
      </c>
      <c r="J344">
        <v>27.943361188486531</v>
      </c>
      <c r="K344">
        <v>28.815207342842051</v>
      </c>
      <c r="L344">
        <v>26.337240193780278</v>
      </c>
      <c r="M344">
        <f t="shared" si="5"/>
        <v>27.698602908369619</v>
      </c>
    </row>
    <row r="345" spans="1:13" x14ac:dyDescent="0.3">
      <c r="A345" t="s">
        <v>352</v>
      </c>
      <c r="B345" t="s">
        <v>931</v>
      </c>
      <c r="C345">
        <v>16.399999999999999</v>
      </c>
      <c r="D345">
        <v>6256683</v>
      </c>
      <c r="E345">
        <v>0</v>
      </c>
      <c r="F345">
        <v>0</v>
      </c>
      <c r="G345">
        <v>4</v>
      </c>
      <c r="J345">
        <v>4.2989786443825437</v>
      </c>
      <c r="K345" t="s">
        <v>1184</v>
      </c>
      <c r="L345" t="s">
        <v>1184</v>
      </c>
      <c r="M345">
        <f t="shared" si="5"/>
        <v>4.2989786443825437</v>
      </c>
    </row>
    <row r="346" spans="1:13" x14ac:dyDescent="0.3">
      <c r="A346" t="s">
        <v>353</v>
      </c>
      <c r="B346" t="s">
        <v>685</v>
      </c>
      <c r="C346">
        <v>26.3</v>
      </c>
      <c r="D346">
        <v>13511847.25</v>
      </c>
      <c r="E346">
        <v>18370735.6875</v>
      </c>
      <c r="F346">
        <v>20402421.4375</v>
      </c>
      <c r="G346">
        <v>6</v>
      </c>
      <c r="H346">
        <v>6</v>
      </c>
      <c r="I346">
        <v>6</v>
      </c>
      <c r="J346">
        <v>6.4484679665738156</v>
      </c>
      <c r="K346">
        <v>5.9617670364500794</v>
      </c>
      <c r="L346">
        <v>5.6436943272386308</v>
      </c>
      <c r="M346">
        <f t="shared" si="5"/>
        <v>6.0179764434208423</v>
      </c>
    </row>
    <row r="347" spans="1:13" x14ac:dyDescent="0.3">
      <c r="A347" t="s">
        <v>354</v>
      </c>
      <c r="B347" t="s">
        <v>932</v>
      </c>
      <c r="C347">
        <v>57.8</v>
      </c>
      <c r="D347">
        <v>93628455.3125</v>
      </c>
      <c r="E347">
        <v>101688402.25</v>
      </c>
      <c r="F347">
        <v>123014941.0625</v>
      </c>
      <c r="G347">
        <v>49</v>
      </c>
      <c r="H347">
        <v>52</v>
      </c>
      <c r="I347">
        <v>47</v>
      </c>
      <c r="J347">
        <v>52.662488393686161</v>
      </c>
      <c r="K347">
        <v>51.668647649234018</v>
      </c>
      <c r="L347">
        <v>44.208938896702612</v>
      </c>
      <c r="M347">
        <f t="shared" si="5"/>
        <v>49.513358313207597</v>
      </c>
    </row>
    <row r="348" spans="1:13" x14ac:dyDescent="0.3">
      <c r="A348" t="s">
        <v>355</v>
      </c>
      <c r="B348" t="s">
        <v>933</v>
      </c>
      <c r="C348">
        <v>14.8</v>
      </c>
      <c r="D348">
        <v>10540769</v>
      </c>
      <c r="E348">
        <v>11129639.1875</v>
      </c>
      <c r="F348">
        <v>11304273.5625</v>
      </c>
      <c r="G348">
        <v>7</v>
      </c>
      <c r="H348">
        <v>8</v>
      </c>
      <c r="I348">
        <v>10</v>
      </c>
      <c r="J348">
        <v>7.5232126276694524</v>
      </c>
      <c r="K348">
        <v>7.9490227152667723</v>
      </c>
      <c r="L348">
        <v>9.4061572120643842</v>
      </c>
      <c r="M348">
        <f t="shared" si="5"/>
        <v>8.2927975183335363</v>
      </c>
    </row>
    <row r="349" spans="1:13" x14ac:dyDescent="0.3">
      <c r="A349" t="s">
        <v>356</v>
      </c>
      <c r="B349" t="s">
        <v>934</v>
      </c>
      <c r="C349">
        <v>63.5</v>
      </c>
      <c r="D349">
        <v>14087942.4960938</v>
      </c>
      <c r="E349">
        <v>15650822.5625</v>
      </c>
      <c r="F349">
        <v>16324873.75</v>
      </c>
      <c r="G349">
        <v>15</v>
      </c>
      <c r="H349">
        <v>15</v>
      </c>
      <c r="I349">
        <v>15</v>
      </c>
      <c r="J349">
        <v>16.121169916434539</v>
      </c>
      <c r="K349">
        <v>14.904417591125201</v>
      </c>
      <c r="L349">
        <v>14.109235818096581</v>
      </c>
      <c r="M349">
        <f t="shared" si="5"/>
        <v>15.044941108552107</v>
      </c>
    </row>
    <row r="350" spans="1:13" x14ac:dyDescent="0.3">
      <c r="A350" t="s">
        <v>357</v>
      </c>
      <c r="B350" t="s">
        <v>935</v>
      </c>
      <c r="C350">
        <v>120.1</v>
      </c>
      <c r="D350">
        <v>3583806.5546875</v>
      </c>
      <c r="E350">
        <v>0</v>
      </c>
      <c r="F350">
        <v>0</v>
      </c>
      <c r="G350">
        <v>5</v>
      </c>
      <c r="J350">
        <v>5.3737233054781806</v>
      </c>
      <c r="K350" t="s">
        <v>1184</v>
      </c>
      <c r="L350" t="s">
        <v>1184</v>
      </c>
      <c r="M350">
        <f t="shared" si="5"/>
        <v>5.3737233054781806</v>
      </c>
    </row>
    <row r="351" spans="1:13" x14ac:dyDescent="0.3">
      <c r="A351" t="s">
        <v>358</v>
      </c>
      <c r="B351" t="s">
        <v>936</v>
      </c>
      <c r="C351">
        <v>55.4</v>
      </c>
      <c r="D351">
        <v>5571619.4375</v>
      </c>
      <c r="E351">
        <v>0</v>
      </c>
      <c r="F351">
        <v>14027458.5</v>
      </c>
      <c r="G351">
        <v>8</v>
      </c>
      <c r="I351">
        <v>11</v>
      </c>
      <c r="J351">
        <v>8.5979572887650875</v>
      </c>
      <c r="K351" t="s">
        <v>1184</v>
      </c>
      <c r="L351">
        <v>10.34677293327082</v>
      </c>
      <c r="M351">
        <f t="shared" si="5"/>
        <v>9.4723651110179539</v>
      </c>
    </row>
    <row r="352" spans="1:13" x14ac:dyDescent="0.3">
      <c r="A352" t="s">
        <v>359</v>
      </c>
      <c r="B352" t="s">
        <v>685</v>
      </c>
      <c r="C352">
        <v>19.399999999999999</v>
      </c>
      <c r="D352">
        <v>6498336</v>
      </c>
      <c r="E352">
        <v>7834678.625</v>
      </c>
      <c r="F352">
        <v>7650680.625</v>
      </c>
      <c r="G352">
        <v>6</v>
      </c>
      <c r="H352">
        <v>6</v>
      </c>
      <c r="I352">
        <v>5</v>
      </c>
      <c r="J352">
        <v>6.4484679665738156</v>
      </c>
      <c r="K352">
        <v>5.9617670364500794</v>
      </c>
      <c r="L352">
        <v>4.7030786060321921</v>
      </c>
      <c r="M352">
        <f t="shared" si="5"/>
        <v>5.7044378696853633</v>
      </c>
    </row>
    <row r="353" spans="1:13" x14ac:dyDescent="0.3">
      <c r="A353" t="s">
        <v>360</v>
      </c>
      <c r="B353" t="s">
        <v>937</v>
      </c>
      <c r="C353">
        <v>110</v>
      </c>
      <c r="D353">
        <v>2637260.9375</v>
      </c>
      <c r="E353">
        <v>1391113.25</v>
      </c>
      <c r="F353">
        <v>3295254.5</v>
      </c>
      <c r="G353">
        <v>18</v>
      </c>
      <c r="H353">
        <v>19</v>
      </c>
      <c r="I353">
        <v>15</v>
      </c>
      <c r="J353">
        <v>19.34540389972145</v>
      </c>
      <c r="K353">
        <v>18.878928948758581</v>
      </c>
      <c r="L353">
        <v>14.109235818096581</v>
      </c>
      <c r="M353">
        <f t="shared" si="5"/>
        <v>17.44452288885887</v>
      </c>
    </row>
    <row r="354" spans="1:13" x14ac:dyDescent="0.3">
      <c r="A354" t="s">
        <v>361</v>
      </c>
      <c r="B354" t="s">
        <v>685</v>
      </c>
      <c r="C354">
        <v>23.8</v>
      </c>
      <c r="D354">
        <v>1049114.5</v>
      </c>
      <c r="E354">
        <v>1226352.28125</v>
      </c>
      <c r="F354">
        <v>0</v>
      </c>
      <c r="G354">
        <v>9</v>
      </c>
      <c r="H354">
        <v>12</v>
      </c>
      <c r="I354">
        <v>9</v>
      </c>
      <c r="J354">
        <v>9.6727019498607234</v>
      </c>
      <c r="K354">
        <v>11.923534072900161</v>
      </c>
      <c r="L354">
        <v>8.4655414908579463</v>
      </c>
      <c r="M354">
        <f t="shared" si="5"/>
        <v>10.020592504539609</v>
      </c>
    </row>
    <row r="355" spans="1:13" x14ac:dyDescent="0.3">
      <c r="A355" t="s">
        <v>362</v>
      </c>
      <c r="B355" t="s">
        <v>685</v>
      </c>
      <c r="C355">
        <v>20.6</v>
      </c>
      <c r="D355">
        <v>19435543.90625</v>
      </c>
      <c r="E355">
        <v>20431224.9375</v>
      </c>
      <c r="F355">
        <v>24683393.71875</v>
      </c>
      <c r="G355">
        <v>19</v>
      </c>
      <c r="H355">
        <v>17</v>
      </c>
      <c r="I355">
        <v>19</v>
      </c>
      <c r="J355">
        <v>20.420148560817079</v>
      </c>
      <c r="K355">
        <v>16.89167326994189</v>
      </c>
      <c r="L355">
        <v>17.87169870292233</v>
      </c>
      <c r="M355">
        <f t="shared" si="5"/>
        <v>18.394506844560436</v>
      </c>
    </row>
    <row r="356" spans="1:13" x14ac:dyDescent="0.3">
      <c r="A356" t="s">
        <v>363</v>
      </c>
      <c r="B356" t="s">
        <v>938</v>
      </c>
      <c r="C356">
        <v>46.9</v>
      </c>
      <c r="D356">
        <v>2774445.75</v>
      </c>
      <c r="E356">
        <v>3374927.9375</v>
      </c>
      <c r="F356">
        <v>7778935</v>
      </c>
      <c r="G356">
        <v>4</v>
      </c>
      <c r="H356">
        <v>5</v>
      </c>
      <c r="I356">
        <v>7</v>
      </c>
      <c r="J356">
        <v>4.2989786443825437</v>
      </c>
      <c r="K356">
        <v>4.968139197041733</v>
      </c>
      <c r="L356">
        <v>6.5843100484450696</v>
      </c>
      <c r="M356">
        <f t="shared" si="5"/>
        <v>5.2838092966231152</v>
      </c>
    </row>
    <row r="357" spans="1:13" x14ac:dyDescent="0.3">
      <c r="A357" t="s">
        <v>364</v>
      </c>
      <c r="B357" t="s">
        <v>685</v>
      </c>
      <c r="C357">
        <v>30.4</v>
      </c>
      <c r="D357">
        <v>1538358.625</v>
      </c>
      <c r="E357">
        <v>1777244.8125</v>
      </c>
      <c r="F357">
        <v>883172.5</v>
      </c>
      <c r="G357">
        <v>3</v>
      </c>
      <c r="H357">
        <v>2</v>
      </c>
      <c r="I357">
        <v>2</v>
      </c>
      <c r="J357">
        <v>3.2242339832869078</v>
      </c>
      <c r="K357">
        <v>1.9872556788166931</v>
      </c>
      <c r="L357">
        <v>1.8812314424128771</v>
      </c>
      <c r="M357">
        <f t="shared" si="5"/>
        <v>2.3642403681721595</v>
      </c>
    </row>
    <row r="358" spans="1:13" x14ac:dyDescent="0.3">
      <c r="A358" t="s">
        <v>365</v>
      </c>
      <c r="B358" t="s">
        <v>939</v>
      </c>
      <c r="C358">
        <v>58.7</v>
      </c>
      <c r="D358">
        <v>1500168.75</v>
      </c>
      <c r="E358">
        <v>1320739.4375</v>
      </c>
      <c r="F358">
        <v>1876148.5625</v>
      </c>
      <c r="G358">
        <v>3</v>
      </c>
      <c r="H358">
        <v>3</v>
      </c>
      <c r="I358">
        <v>2</v>
      </c>
      <c r="J358">
        <v>3.2242339832869078</v>
      </c>
      <c r="K358">
        <v>2.9808835182250402</v>
      </c>
      <c r="L358">
        <v>1.8812314424128771</v>
      </c>
      <c r="M358">
        <f t="shared" si="5"/>
        <v>2.6954496479749417</v>
      </c>
    </row>
    <row r="359" spans="1:13" x14ac:dyDescent="0.3">
      <c r="A359" t="s">
        <v>366</v>
      </c>
      <c r="B359" t="s">
        <v>940</v>
      </c>
      <c r="C359">
        <v>38.6</v>
      </c>
      <c r="D359">
        <v>8675499.75</v>
      </c>
      <c r="E359">
        <v>8949377.25</v>
      </c>
      <c r="F359">
        <v>16336681.5</v>
      </c>
      <c r="G359">
        <v>38</v>
      </c>
      <c r="H359">
        <v>41</v>
      </c>
      <c r="I359">
        <v>43</v>
      </c>
      <c r="J359">
        <v>40.840297121634173</v>
      </c>
      <c r="K359">
        <v>40.738741415742197</v>
      </c>
      <c r="L359">
        <v>40.446476011876847</v>
      </c>
      <c r="M359">
        <f t="shared" si="5"/>
        <v>40.675171516417741</v>
      </c>
    </row>
    <row r="360" spans="1:13" x14ac:dyDescent="0.3">
      <c r="A360" t="s">
        <v>367</v>
      </c>
      <c r="B360" t="s">
        <v>941</v>
      </c>
      <c r="C360">
        <v>34.1</v>
      </c>
      <c r="D360">
        <v>65703227.375</v>
      </c>
      <c r="E360">
        <v>72388349.75</v>
      </c>
      <c r="F360">
        <v>74188582</v>
      </c>
      <c r="G360">
        <v>12</v>
      </c>
      <c r="H360">
        <v>12</v>
      </c>
      <c r="I360">
        <v>10</v>
      </c>
      <c r="J360">
        <v>12.896935933147629</v>
      </c>
      <c r="K360">
        <v>11.923534072900161</v>
      </c>
      <c r="L360">
        <v>9.4061572120643842</v>
      </c>
      <c r="M360">
        <f t="shared" si="5"/>
        <v>11.408875739370727</v>
      </c>
    </row>
    <row r="361" spans="1:13" x14ac:dyDescent="0.3">
      <c r="A361" t="s">
        <v>368</v>
      </c>
      <c r="B361" t="s">
        <v>942</v>
      </c>
      <c r="C361">
        <v>54.5</v>
      </c>
      <c r="D361">
        <v>73078077.125</v>
      </c>
      <c r="E361">
        <v>73403339.375</v>
      </c>
      <c r="F361">
        <v>71119050</v>
      </c>
      <c r="G361">
        <v>36</v>
      </c>
      <c r="H361">
        <v>30</v>
      </c>
      <c r="I361">
        <v>32</v>
      </c>
      <c r="J361">
        <v>38.690807799442887</v>
      </c>
      <c r="K361">
        <v>29.808835182250391</v>
      </c>
      <c r="L361">
        <v>30.09970307860603</v>
      </c>
      <c r="M361">
        <f t="shared" si="5"/>
        <v>32.866448686766439</v>
      </c>
    </row>
    <row r="362" spans="1:13" x14ac:dyDescent="0.3">
      <c r="A362" t="s">
        <v>369</v>
      </c>
      <c r="B362" t="s">
        <v>943</v>
      </c>
      <c r="C362">
        <v>8.4</v>
      </c>
      <c r="D362">
        <v>4722875.625</v>
      </c>
      <c r="E362">
        <v>7224302.75</v>
      </c>
      <c r="F362">
        <v>6347565.25</v>
      </c>
      <c r="G362">
        <v>4</v>
      </c>
      <c r="H362">
        <v>4</v>
      </c>
      <c r="I362">
        <v>4</v>
      </c>
      <c r="J362">
        <v>4.2989786443825437</v>
      </c>
      <c r="K362">
        <v>3.9745113576333861</v>
      </c>
      <c r="L362">
        <v>3.7624628848257542</v>
      </c>
      <c r="M362">
        <f t="shared" si="5"/>
        <v>4.0119842956138951</v>
      </c>
    </row>
    <row r="363" spans="1:13" x14ac:dyDescent="0.3">
      <c r="A363" t="s">
        <v>370</v>
      </c>
      <c r="B363" t="s">
        <v>944</v>
      </c>
      <c r="C363">
        <v>110.2</v>
      </c>
      <c r="D363">
        <v>889055.51953125</v>
      </c>
      <c r="E363">
        <v>1146298.90625</v>
      </c>
      <c r="F363">
        <v>1430981.375</v>
      </c>
      <c r="G363">
        <v>2</v>
      </c>
      <c r="H363">
        <v>2</v>
      </c>
      <c r="I363">
        <v>3</v>
      </c>
      <c r="J363">
        <v>2.1494893221912719</v>
      </c>
      <c r="K363">
        <v>1.9872556788166931</v>
      </c>
      <c r="L363">
        <v>2.821847163619315</v>
      </c>
      <c r="M363">
        <f t="shared" si="5"/>
        <v>2.3195307215424266</v>
      </c>
    </row>
    <row r="364" spans="1:13" x14ac:dyDescent="0.3">
      <c r="A364" t="s">
        <v>371</v>
      </c>
      <c r="B364" t="s">
        <v>945</v>
      </c>
      <c r="C364">
        <v>29.2</v>
      </c>
      <c r="D364">
        <v>46340252</v>
      </c>
      <c r="E364">
        <v>46085453.875</v>
      </c>
      <c r="F364">
        <v>44722781.125</v>
      </c>
      <c r="G364">
        <v>14</v>
      </c>
      <c r="H364">
        <v>13</v>
      </c>
      <c r="I364">
        <v>15</v>
      </c>
      <c r="J364">
        <v>15.0464252553389</v>
      </c>
      <c r="K364">
        <v>12.917161912308501</v>
      </c>
      <c r="L364">
        <v>14.109235818096581</v>
      </c>
      <c r="M364">
        <f t="shared" si="5"/>
        <v>14.024274328581328</v>
      </c>
    </row>
    <row r="365" spans="1:13" x14ac:dyDescent="0.3">
      <c r="A365" t="s">
        <v>372</v>
      </c>
      <c r="B365" t="s">
        <v>946</v>
      </c>
      <c r="C365">
        <v>26.9</v>
      </c>
      <c r="D365">
        <v>11674803.75</v>
      </c>
      <c r="E365">
        <v>16531142.375</v>
      </c>
      <c r="F365">
        <v>15717719.75</v>
      </c>
      <c r="G365">
        <v>6</v>
      </c>
      <c r="H365">
        <v>7</v>
      </c>
      <c r="I365">
        <v>7</v>
      </c>
      <c r="J365">
        <v>6.4484679665738156</v>
      </c>
      <c r="K365">
        <v>6.9553948758584259</v>
      </c>
      <c r="L365">
        <v>6.5843100484450696</v>
      </c>
      <c r="M365">
        <f t="shared" si="5"/>
        <v>6.6627242969591043</v>
      </c>
    </row>
    <row r="366" spans="1:13" x14ac:dyDescent="0.3">
      <c r="A366" t="s">
        <v>373</v>
      </c>
      <c r="B366" t="s">
        <v>947</v>
      </c>
      <c r="C366">
        <v>42.1</v>
      </c>
      <c r="D366">
        <v>2957049.3125</v>
      </c>
      <c r="E366">
        <v>2773186</v>
      </c>
      <c r="F366">
        <v>2704498.875</v>
      </c>
      <c r="G366">
        <v>4</v>
      </c>
      <c r="H366">
        <v>5</v>
      </c>
      <c r="I366">
        <v>4</v>
      </c>
      <c r="J366">
        <v>4.2989786443825437</v>
      </c>
      <c r="K366">
        <v>4.968139197041733</v>
      </c>
      <c r="L366">
        <v>3.7624628848257542</v>
      </c>
      <c r="M366">
        <f t="shared" si="5"/>
        <v>4.3431935754166773</v>
      </c>
    </row>
    <row r="367" spans="1:13" x14ac:dyDescent="0.3">
      <c r="A367" t="s">
        <v>374</v>
      </c>
      <c r="B367" t="s">
        <v>948</v>
      </c>
      <c r="C367">
        <v>72.5</v>
      </c>
      <c r="D367">
        <v>2491672.5</v>
      </c>
      <c r="E367">
        <v>3030175.8125</v>
      </c>
      <c r="F367">
        <v>5936035.25</v>
      </c>
      <c r="G367">
        <v>19</v>
      </c>
      <c r="H367">
        <v>15</v>
      </c>
      <c r="I367">
        <v>23</v>
      </c>
      <c r="J367">
        <v>20.420148560817079</v>
      </c>
      <c r="K367">
        <v>14.904417591125201</v>
      </c>
      <c r="L367">
        <v>21.634161587748078</v>
      </c>
      <c r="M367">
        <f t="shared" si="5"/>
        <v>18.986242579896786</v>
      </c>
    </row>
    <row r="368" spans="1:13" x14ac:dyDescent="0.3">
      <c r="A368" t="s">
        <v>375</v>
      </c>
      <c r="B368" t="s">
        <v>949</v>
      </c>
      <c r="C368">
        <v>75.8</v>
      </c>
      <c r="D368">
        <v>21465.20703125</v>
      </c>
      <c r="E368">
        <v>0</v>
      </c>
      <c r="F368">
        <v>0</v>
      </c>
      <c r="G368">
        <v>9</v>
      </c>
      <c r="H368">
        <v>10</v>
      </c>
      <c r="I368">
        <v>11</v>
      </c>
      <c r="J368">
        <v>9.6727019498607234</v>
      </c>
      <c r="K368">
        <v>9.936278394083466</v>
      </c>
      <c r="L368">
        <v>10.34677293327082</v>
      </c>
      <c r="M368">
        <f t="shared" si="5"/>
        <v>9.9852510924050026</v>
      </c>
    </row>
    <row r="369" spans="1:13" x14ac:dyDescent="0.3">
      <c r="A369" t="s">
        <v>376</v>
      </c>
      <c r="B369" t="s">
        <v>950</v>
      </c>
      <c r="C369">
        <v>26.2</v>
      </c>
      <c r="D369">
        <v>645162</v>
      </c>
      <c r="E369">
        <v>0</v>
      </c>
      <c r="F369">
        <v>7384560</v>
      </c>
      <c r="G369">
        <v>18</v>
      </c>
      <c r="H369">
        <v>19</v>
      </c>
      <c r="I369">
        <v>17</v>
      </c>
      <c r="J369">
        <v>19.34540389972145</v>
      </c>
      <c r="K369">
        <v>18.878928948758581</v>
      </c>
      <c r="L369">
        <v>15.990467260509449</v>
      </c>
      <c r="M369">
        <f t="shared" si="5"/>
        <v>18.071600036329826</v>
      </c>
    </row>
    <row r="370" spans="1:13" x14ac:dyDescent="0.3">
      <c r="A370" t="s">
        <v>377</v>
      </c>
      <c r="B370" t="s">
        <v>685</v>
      </c>
      <c r="C370">
        <v>17.8</v>
      </c>
      <c r="D370">
        <v>15675951.4375</v>
      </c>
      <c r="E370">
        <v>18192707</v>
      </c>
      <c r="F370">
        <v>24322814.625</v>
      </c>
      <c r="G370">
        <v>19</v>
      </c>
      <c r="H370">
        <v>21</v>
      </c>
      <c r="I370">
        <v>19</v>
      </c>
      <c r="J370">
        <v>20.420148560817079</v>
      </c>
      <c r="K370">
        <v>20.866184627575279</v>
      </c>
      <c r="L370">
        <v>17.87169870292233</v>
      </c>
      <c r="M370">
        <f t="shared" si="5"/>
        <v>19.719343963771564</v>
      </c>
    </row>
    <row r="371" spans="1:13" x14ac:dyDescent="0.3">
      <c r="A371" t="s">
        <v>378</v>
      </c>
      <c r="B371" t="s">
        <v>951</v>
      </c>
      <c r="C371">
        <v>111.2</v>
      </c>
      <c r="D371">
        <v>9832094.8828125</v>
      </c>
      <c r="E371">
        <v>6446540.15625</v>
      </c>
      <c r="F371">
        <v>7166156.71875</v>
      </c>
      <c r="G371">
        <v>16</v>
      </c>
      <c r="H371">
        <v>12</v>
      </c>
      <c r="I371">
        <v>13</v>
      </c>
      <c r="J371">
        <v>17.195914577530171</v>
      </c>
      <c r="K371">
        <v>11.923534072900161</v>
      </c>
      <c r="L371">
        <v>12.2280043756837</v>
      </c>
      <c r="M371">
        <f t="shared" si="5"/>
        <v>13.782484342038011</v>
      </c>
    </row>
    <row r="372" spans="1:13" x14ac:dyDescent="0.3">
      <c r="A372" t="s">
        <v>379</v>
      </c>
      <c r="B372" t="s">
        <v>952</v>
      </c>
      <c r="C372">
        <v>53.1</v>
      </c>
      <c r="D372">
        <v>5213826.5</v>
      </c>
      <c r="E372">
        <v>2748404.875</v>
      </c>
      <c r="F372">
        <v>8274040.625</v>
      </c>
      <c r="G372">
        <v>6</v>
      </c>
      <c r="H372">
        <v>5</v>
      </c>
      <c r="I372">
        <v>7</v>
      </c>
      <c r="J372">
        <v>6.4484679665738156</v>
      </c>
      <c r="K372">
        <v>4.968139197041733</v>
      </c>
      <c r="L372">
        <v>6.5843100484450696</v>
      </c>
      <c r="M372">
        <f t="shared" si="5"/>
        <v>6.0003057373535391</v>
      </c>
    </row>
    <row r="373" spans="1:13" x14ac:dyDescent="0.3">
      <c r="A373" t="s">
        <v>380</v>
      </c>
      <c r="B373" t="s">
        <v>953</v>
      </c>
      <c r="C373">
        <v>23.4</v>
      </c>
      <c r="D373">
        <v>8308949.75</v>
      </c>
      <c r="E373">
        <v>20197456.5</v>
      </c>
      <c r="F373">
        <v>14517256.125</v>
      </c>
      <c r="G373">
        <v>10</v>
      </c>
      <c r="H373">
        <v>10</v>
      </c>
      <c r="I373">
        <v>10</v>
      </c>
      <c r="J373">
        <v>10.747446610956359</v>
      </c>
      <c r="K373">
        <v>9.936278394083466</v>
      </c>
      <c r="L373">
        <v>9.4061572120643842</v>
      </c>
      <c r="M373">
        <f t="shared" si="5"/>
        <v>10.029960739034737</v>
      </c>
    </row>
    <row r="374" spans="1:13" x14ac:dyDescent="0.3">
      <c r="A374" t="s">
        <v>381</v>
      </c>
      <c r="B374" t="s">
        <v>685</v>
      </c>
      <c r="C374">
        <v>38.5</v>
      </c>
      <c r="D374">
        <v>45738614.875</v>
      </c>
      <c r="E374">
        <v>53344949.875</v>
      </c>
      <c r="F374">
        <v>77890937.9375</v>
      </c>
      <c r="G374">
        <v>15</v>
      </c>
      <c r="H374">
        <v>15</v>
      </c>
      <c r="I374">
        <v>16</v>
      </c>
      <c r="J374">
        <v>16.121169916434539</v>
      </c>
      <c r="K374">
        <v>14.904417591125201</v>
      </c>
      <c r="L374">
        <v>15.04985153930302</v>
      </c>
      <c r="M374">
        <f t="shared" si="5"/>
        <v>15.358479682287587</v>
      </c>
    </row>
    <row r="375" spans="1:13" x14ac:dyDescent="0.3">
      <c r="A375" t="s">
        <v>382</v>
      </c>
      <c r="B375" t="s">
        <v>685</v>
      </c>
      <c r="C375">
        <v>12.4</v>
      </c>
      <c r="D375">
        <v>14586276.5</v>
      </c>
      <c r="E375">
        <v>15626981.5</v>
      </c>
      <c r="F375">
        <v>22847550</v>
      </c>
      <c r="G375">
        <v>7</v>
      </c>
      <c r="H375">
        <v>6</v>
      </c>
      <c r="I375">
        <v>6</v>
      </c>
      <c r="J375">
        <v>7.5232126276694524</v>
      </c>
      <c r="K375">
        <v>5.9617670364500794</v>
      </c>
      <c r="L375">
        <v>5.6436943272386308</v>
      </c>
      <c r="M375">
        <f t="shared" si="5"/>
        <v>6.3762246637860542</v>
      </c>
    </row>
    <row r="376" spans="1:13" x14ac:dyDescent="0.3">
      <c r="A376" t="s">
        <v>383</v>
      </c>
      <c r="B376" t="s">
        <v>954</v>
      </c>
      <c r="C376">
        <v>57.5</v>
      </c>
      <c r="D376">
        <v>8350772.73046875</v>
      </c>
      <c r="E376">
        <v>10692358.625</v>
      </c>
      <c r="F376">
        <v>14074512.71875</v>
      </c>
      <c r="G376">
        <v>26</v>
      </c>
      <c r="H376">
        <v>27</v>
      </c>
      <c r="I376">
        <v>28</v>
      </c>
      <c r="J376">
        <v>27.943361188486531</v>
      </c>
      <c r="K376">
        <v>26.827951664025349</v>
      </c>
      <c r="L376">
        <v>26.337240193780278</v>
      </c>
      <c r="M376">
        <f t="shared" si="5"/>
        <v>27.036184348764053</v>
      </c>
    </row>
    <row r="377" spans="1:13" x14ac:dyDescent="0.3">
      <c r="A377" t="s">
        <v>384</v>
      </c>
      <c r="B377" t="s">
        <v>955</v>
      </c>
      <c r="C377">
        <v>99.4</v>
      </c>
      <c r="D377">
        <v>2963403.5625</v>
      </c>
      <c r="E377">
        <v>2729803.25</v>
      </c>
      <c r="F377">
        <v>3898746</v>
      </c>
      <c r="G377">
        <v>4</v>
      </c>
      <c r="H377">
        <v>3</v>
      </c>
      <c r="I377">
        <v>4</v>
      </c>
      <c r="J377">
        <v>4.2989786443825437</v>
      </c>
      <c r="K377">
        <v>2.9808835182250402</v>
      </c>
      <c r="L377">
        <v>3.7624628848257542</v>
      </c>
      <c r="M377">
        <f t="shared" si="5"/>
        <v>3.6807750158111125</v>
      </c>
    </row>
    <row r="378" spans="1:13" x14ac:dyDescent="0.3">
      <c r="A378" t="s">
        <v>385</v>
      </c>
      <c r="B378" t="s">
        <v>956</v>
      </c>
      <c r="C378">
        <v>33.5</v>
      </c>
      <c r="D378">
        <v>2833765.1875</v>
      </c>
      <c r="E378">
        <v>7946144.9375</v>
      </c>
      <c r="F378">
        <v>5368569.625</v>
      </c>
      <c r="G378">
        <v>6</v>
      </c>
      <c r="H378">
        <v>5</v>
      </c>
      <c r="I378">
        <v>11</v>
      </c>
      <c r="J378">
        <v>6.4484679665738156</v>
      </c>
      <c r="K378">
        <v>4.968139197041733</v>
      </c>
      <c r="L378">
        <v>10.34677293327082</v>
      </c>
      <c r="M378">
        <f t="shared" si="5"/>
        <v>7.254460032295456</v>
      </c>
    </row>
    <row r="379" spans="1:13" x14ac:dyDescent="0.3">
      <c r="A379" t="s">
        <v>386</v>
      </c>
      <c r="B379" t="s">
        <v>957</v>
      </c>
      <c r="C379">
        <v>28.8</v>
      </c>
      <c r="D379">
        <v>4076062.0625</v>
      </c>
      <c r="E379">
        <v>4884900.8125</v>
      </c>
      <c r="F379">
        <v>4397691.125</v>
      </c>
      <c r="G379">
        <v>7</v>
      </c>
      <c r="H379">
        <v>8</v>
      </c>
      <c r="I379">
        <v>5</v>
      </c>
      <c r="J379">
        <v>7.5232126276694524</v>
      </c>
      <c r="K379">
        <v>7.9490227152667723</v>
      </c>
      <c r="L379">
        <v>4.7030786060321921</v>
      </c>
      <c r="M379">
        <f t="shared" si="5"/>
        <v>6.7251046496561386</v>
      </c>
    </row>
    <row r="380" spans="1:13" x14ac:dyDescent="0.3">
      <c r="A380" t="s">
        <v>387</v>
      </c>
      <c r="B380" t="s">
        <v>958</v>
      </c>
      <c r="C380">
        <v>26.1</v>
      </c>
      <c r="D380">
        <v>1664085.9375</v>
      </c>
      <c r="E380">
        <v>0</v>
      </c>
      <c r="F380">
        <v>0</v>
      </c>
      <c r="G380">
        <v>2</v>
      </c>
      <c r="J380">
        <v>2.1494893221912719</v>
      </c>
      <c r="K380" t="s">
        <v>1184</v>
      </c>
      <c r="L380" t="s">
        <v>1184</v>
      </c>
      <c r="M380">
        <f t="shared" si="5"/>
        <v>2.1494893221912719</v>
      </c>
    </row>
    <row r="381" spans="1:13" x14ac:dyDescent="0.3">
      <c r="A381" t="s">
        <v>388</v>
      </c>
      <c r="B381" t="s">
        <v>959</v>
      </c>
      <c r="C381">
        <v>50.8</v>
      </c>
      <c r="D381">
        <v>2865550.3125</v>
      </c>
      <c r="E381">
        <v>2087427.0625</v>
      </c>
      <c r="F381">
        <v>3242078.4375</v>
      </c>
      <c r="G381">
        <v>4</v>
      </c>
      <c r="H381">
        <v>4</v>
      </c>
      <c r="I381">
        <v>4</v>
      </c>
      <c r="J381">
        <v>4.2989786443825437</v>
      </c>
      <c r="K381">
        <v>3.9745113576333861</v>
      </c>
      <c r="L381">
        <v>3.7624628848257542</v>
      </c>
      <c r="M381">
        <f t="shared" si="5"/>
        <v>4.0119842956138951</v>
      </c>
    </row>
    <row r="382" spans="1:13" x14ac:dyDescent="0.3">
      <c r="A382" t="s">
        <v>389</v>
      </c>
      <c r="B382" t="s">
        <v>960</v>
      </c>
      <c r="C382">
        <v>27.2</v>
      </c>
      <c r="D382">
        <v>3595693</v>
      </c>
      <c r="E382">
        <v>7775588.34375</v>
      </c>
      <c r="F382">
        <v>6467703.1875</v>
      </c>
      <c r="G382">
        <v>11</v>
      </c>
      <c r="H382">
        <v>11</v>
      </c>
      <c r="I382">
        <v>13</v>
      </c>
      <c r="J382">
        <v>11.822191272052001</v>
      </c>
      <c r="K382">
        <v>10.92990623349181</v>
      </c>
      <c r="L382">
        <v>12.2280043756837</v>
      </c>
      <c r="M382">
        <f t="shared" si="5"/>
        <v>11.660033960409171</v>
      </c>
    </row>
    <row r="383" spans="1:13" x14ac:dyDescent="0.3">
      <c r="A383" t="s">
        <v>390</v>
      </c>
      <c r="B383" t="s">
        <v>961</v>
      </c>
      <c r="C383">
        <v>26.1</v>
      </c>
      <c r="D383">
        <v>33980401.6875</v>
      </c>
      <c r="E383">
        <v>44357450.625</v>
      </c>
      <c r="F383">
        <v>43224107</v>
      </c>
      <c r="G383">
        <v>26</v>
      </c>
      <c r="H383">
        <v>26</v>
      </c>
      <c r="I383">
        <v>22</v>
      </c>
      <c r="J383">
        <v>27.943361188486531</v>
      </c>
      <c r="K383">
        <v>25.834323824617009</v>
      </c>
      <c r="L383">
        <v>20.693545866541651</v>
      </c>
      <c r="M383">
        <f t="shared" si="5"/>
        <v>24.823743626548396</v>
      </c>
    </row>
    <row r="384" spans="1:13" x14ac:dyDescent="0.3">
      <c r="A384" t="s">
        <v>391</v>
      </c>
      <c r="B384" t="s">
        <v>962</v>
      </c>
      <c r="C384">
        <v>16.3</v>
      </c>
      <c r="D384">
        <v>40050884.625</v>
      </c>
      <c r="E384">
        <v>47116505.5625</v>
      </c>
      <c r="F384">
        <v>30487253.875</v>
      </c>
      <c r="G384">
        <v>20</v>
      </c>
      <c r="H384">
        <v>21</v>
      </c>
      <c r="I384">
        <v>19</v>
      </c>
      <c r="J384">
        <v>21.494893221912719</v>
      </c>
      <c r="K384">
        <v>20.866184627575279</v>
      </c>
      <c r="L384">
        <v>17.87169870292233</v>
      </c>
      <c r="M384">
        <f t="shared" si="5"/>
        <v>20.077592184136776</v>
      </c>
    </row>
    <row r="385" spans="1:13" x14ac:dyDescent="0.3">
      <c r="A385" t="s">
        <v>392</v>
      </c>
      <c r="B385" t="s">
        <v>963</v>
      </c>
      <c r="C385">
        <v>13.6</v>
      </c>
      <c r="D385">
        <v>11823170.75</v>
      </c>
      <c r="E385">
        <v>16158699.5</v>
      </c>
      <c r="F385">
        <v>11990492.75</v>
      </c>
      <c r="G385">
        <v>6</v>
      </c>
      <c r="H385">
        <v>8</v>
      </c>
      <c r="I385">
        <v>7</v>
      </c>
      <c r="J385">
        <v>6.4484679665738156</v>
      </c>
      <c r="K385">
        <v>7.9490227152667723</v>
      </c>
      <c r="L385">
        <v>6.5843100484450696</v>
      </c>
      <c r="M385">
        <f t="shared" si="5"/>
        <v>6.9939335767618855</v>
      </c>
    </row>
    <row r="386" spans="1:13" x14ac:dyDescent="0.3">
      <c r="A386" t="s">
        <v>393</v>
      </c>
      <c r="B386" t="s">
        <v>964</v>
      </c>
      <c r="C386">
        <v>49.7</v>
      </c>
      <c r="D386">
        <v>70317113.875</v>
      </c>
      <c r="E386">
        <v>785348.625</v>
      </c>
      <c r="F386">
        <v>75702389.75</v>
      </c>
      <c r="G386">
        <v>14</v>
      </c>
      <c r="H386">
        <v>14</v>
      </c>
      <c r="I386">
        <v>12</v>
      </c>
      <c r="J386">
        <v>15.0464252553389</v>
      </c>
      <c r="K386">
        <v>13.91078975171685</v>
      </c>
      <c r="L386">
        <v>11.28738865447726</v>
      </c>
      <c r="M386">
        <f t="shared" si="5"/>
        <v>13.414867887177671</v>
      </c>
    </row>
    <row r="387" spans="1:13" x14ac:dyDescent="0.3">
      <c r="A387" t="s">
        <v>394</v>
      </c>
      <c r="B387" t="s">
        <v>965</v>
      </c>
      <c r="C387">
        <v>62</v>
      </c>
      <c r="D387">
        <v>8000905.5</v>
      </c>
      <c r="E387">
        <v>9050541</v>
      </c>
      <c r="F387">
        <v>0</v>
      </c>
      <c r="G387">
        <v>7</v>
      </c>
      <c r="H387">
        <v>6</v>
      </c>
      <c r="J387">
        <v>7.5232126276694524</v>
      </c>
      <c r="K387">
        <v>5.9617670364500794</v>
      </c>
      <c r="L387" t="s">
        <v>1184</v>
      </c>
      <c r="M387">
        <f t="shared" si="5"/>
        <v>6.7424898320597659</v>
      </c>
    </row>
    <row r="388" spans="1:13" x14ac:dyDescent="0.3">
      <c r="A388" t="s">
        <v>395</v>
      </c>
      <c r="B388" t="s">
        <v>685</v>
      </c>
      <c r="C388">
        <v>21</v>
      </c>
      <c r="D388">
        <v>11562988.5</v>
      </c>
      <c r="E388">
        <v>17742238.125</v>
      </c>
      <c r="F388">
        <v>17093256.375</v>
      </c>
      <c r="G388">
        <v>10</v>
      </c>
      <c r="H388">
        <v>9</v>
      </c>
      <c r="I388">
        <v>9</v>
      </c>
      <c r="J388">
        <v>10.747446610956359</v>
      </c>
      <c r="K388">
        <v>8.9426505546751187</v>
      </c>
      <c r="L388">
        <v>8.4655414908579463</v>
      </c>
      <c r="M388">
        <f t="shared" ref="M388:M451" si="6">AVERAGE(J388:L388)</f>
        <v>9.3852128854964736</v>
      </c>
    </row>
    <row r="389" spans="1:13" x14ac:dyDescent="0.3">
      <c r="A389" t="s">
        <v>396</v>
      </c>
      <c r="B389" t="s">
        <v>966</v>
      </c>
      <c r="C389">
        <v>24.7</v>
      </c>
      <c r="D389">
        <v>2393957.875</v>
      </c>
      <c r="E389">
        <v>3323156.25</v>
      </c>
      <c r="F389">
        <v>3597964</v>
      </c>
      <c r="G389">
        <v>4</v>
      </c>
      <c r="H389">
        <v>4</v>
      </c>
      <c r="I389">
        <v>4</v>
      </c>
      <c r="J389">
        <v>4.2989786443825437</v>
      </c>
      <c r="K389">
        <v>3.9745113576333861</v>
      </c>
      <c r="L389">
        <v>3.7624628848257542</v>
      </c>
      <c r="M389">
        <f t="shared" si="6"/>
        <v>4.0119842956138951</v>
      </c>
    </row>
    <row r="390" spans="1:13" x14ac:dyDescent="0.3">
      <c r="A390" t="s">
        <v>397</v>
      </c>
      <c r="B390" t="s">
        <v>967</v>
      </c>
      <c r="C390">
        <v>53.1</v>
      </c>
      <c r="D390">
        <v>23007490.21875</v>
      </c>
      <c r="E390">
        <v>25990886.625</v>
      </c>
      <c r="F390">
        <v>40041908.75</v>
      </c>
      <c r="G390">
        <v>40</v>
      </c>
      <c r="H390">
        <v>38</v>
      </c>
      <c r="I390">
        <v>42</v>
      </c>
      <c r="J390">
        <v>42.989786443825437</v>
      </c>
      <c r="K390">
        <v>37.757857897517169</v>
      </c>
      <c r="L390">
        <v>39.505860290670412</v>
      </c>
      <c r="M390">
        <f t="shared" si="6"/>
        <v>40.08450154400434</v>
      </c>
    </row>
    <row r="391" spans="1:13" x14ac:dyDescent="0.3">
      <c r="A391" t="s">
        <v>398</v>
      </c>
      <c r="B391" t="s">
        <v>968</v>
      </c>
      <c r="C391">
        <v>29.5</v>
      </c>
      <c r="D391">
        <v>6671483.75</v>
      </c>
      <c r="E391">
        <v>1579172</v>
      </c>
      <c r="F391">
        <v>2533129.875</v>
      </c>
      <c r="G391">
        <v>12</v>
      </c>
      <c r="H391">
        <v>5</v>
      </c>
      <c r="I391">
        <v>7</v>
      </c>
      <c r="J391">
        <v>12.896935933147629</v>
      </c>
      <c r="K391">
        <v>4.968139197041733</v>
      </c>
      <c r="L391">
        <v>6.5843100484450696</v>
      </c>
      <c r="M391">
        <f t="shared" si="6"/>
        <v>8.1497950595448092</v>
      </c>
    </row>
    <row r="392" spans="1:13" x14ac:dyDescent="0.3">
      <c r="A392" t="s">
        <v>399</v>
      </c>
      <c r="B392" t="s">
        <v>969</v>
      </c>
      <c r="C392">
        <v>56.9</v>
      </c>
      <c r="D392">
        <v>4437664</v>
      </c>
      <c r="E392">
        <v>6027105.75</v>
      </c>
      <c r="F392">
        <v>6805961.75</v>
      </c>
      <c r="G392">
        <v>7</v>
      </c>
      <c r="H392">
        <v>6</v>
      </c>
      <c r="I392">
        <v>7</v>
      </c>
      <c r="J392">
        <v>7.5232126276694524</v>
      </c>
      <c r="K392">
        <v>5.9617670364500794</v>
      </c>
      <c r="L392">
        <v>6.5843100484450696</v>
      </c>
      <c r="M392">
        <f t="shared" si="6"/>
        <v>6.6897632375215332</v>
      </c>
    </row>
    <row r="393" spans="1:13" x14ac:dyDescent="0.3">
      <c r="A393" t="s">
        <v>400</v>
      </c>
      <c r="B393" t="s">
        <v>685</v>
      </c>
      <c r="C393">
        <v>43.3</v>
      </c>
      <c r="D393">
        <v>9207586.3125</v>
      </c>
      <c r="E393">
        <v>8803389.7421875</v>
      </c>
      <c r="F393">
        <v>8496667.859375</v>
      </c>
      <c r="G393">
        <v>8</v>
      </c>
      <c r="H393">
        <v>14</v>
      </c>
      <c r="I393">
        <v>8</v>
      </c>
      <c r="J393">
        <v>8.5979572887650875</v>
      </c>
      <c r="K393">
        <v>13.91078975171685</v>
      </c>
      <c r="L393">
        <v>7.5249257696515084</v>
      </c>
      <c r="M393">
        <f t="shared" si="6"/>
        <v>10.011224270044481</v>
      </c>
    </row>
    <row r="394" spans="1:13" x14ac:dyDescent="0.3">
      <c r="A394" t="s">
        <v>401</v>
      </c>
      <c r="B394" t="s">
        <v>970</v>
      </c>
      <c r="C394">
        <v>23</v>
      </c>
      <c r="D394">
        <v>5004673.8125</v>
      </c>
      <c r="E394">
        <v>4313909.375</v>
      </c>
      <c r="F394">
        <v>7331558.75</v>
      </c>
      <c r="G394">
        <v>5</v>
      </c>
      <c r="H394">
        <v>3</v>
      </c>
      <c r="I394">
        <v>4</v>
      </c>
      <c r="J394">
        <v>5.3737233054781806</v>
      </c>
      <c r="K394">
        <v>2.9808835182250402</v>
      </c>
      <c r="L394">
        <v>3.7624628848257542</v>
      </c>
      <c r="M394">
        <f t="shared" si="6"/>
        <v>4.0390232361763259</v>
      </c>
    </row>
    <row r="395" spans="1:13" x14ac:dyDescent="0.3">
      <c r="A395" t="s">
        <v>402</v>
      </c>
      <c r="B395" t="s">
        <v>971</v>
      </c>
      <c r="C395">
        <v>25</v>
      </c>
      <c r="D395">
        <v>23189194.5</v>
      </c>
      <c r="E395">
        <v>17061575.125</v>
      </c>
      <c r="F395">
        <v>21373329</v>
      </c>
      <c r="G395">
        <v>21</v>
      </c>
      <c r="H395">
        <v>18</v>
      </c>
      <c r="I395">
        <v>20</v>
      </c>
      <c r="J395">
        <v>22.569637883008351</v>
      </c>
      <c r="K395">
        <v>17.885301109350241</v>
      </c>
      <c r="L395">
        <v>18.812314424128768</v>
      </c>
      <c r="M395">
        <f t="shared" si="6"/>
        <v>19.755751138829122</v>
      </c>
    </row>
    <row r="396" spans="1:13" x14ac:dyDescent="0.3">
      <c r="A396" t="s">
        <v>403</v>
      </c>
      <c r="B396" t="s">
        <v>972</v>
      </c>
      <c r="C396">
        <v>17.399999999999999</v>
      </c>
      <c r="D396">
        <v>3717043.3828125</v>
      </c>
      <c r="E396">
        <v>5824231.9375</v>
      </c>
      <c r="F396">
        <v>7771636.1875</v>
      </c>
      <c r="G396">
        <v>7</v>
      </c>
      <c r="H396">
        <v>9</v>
      </c>
      <c r="I396">
        <v>12</v>
      </c>
      <c r="J396">
        <v>7.5232126276694524</v>
      </c>
      <c r="K396">
        <v>8.9426505546751187</v>
      </c>
      <c r="L396">
        <v>11.28738865447726</v>
      </c>
      <c r="M396">
        <f t="shared" si="6"/>
        <v>9.2510839456072773</v>
      </c>
    </row>
    <row r="397" spans="1:13" x14ac:dyDescent="0.3">
      <c r="A397" t="s">
        <v>404</v>
      </c>
      <c r="B397" t="s">
        <v>973</v>
      </c>
      <c r="C397">
        <v>25</v>
      </c>
      <c r="D397">
        <v>17366514.25</v>
      </c>
      <c r="E397">
        <v>12981899.3125</v>
      </c>
      <c r="F397">
        <v>17084027.5</v>
      </c>
      <c r="G397">
        <v>6</v>
      </c>
      <c r="H397">
        <v>4</v>
      </c>
      <c r="I397">
        <v>6</v>
      </c>
      <c r="J397">
        <v>6.4484679665738156</v>
      </c>
      <c r="K397">
        <v>3.9745113576333861</v>
      </c>
      <c r="L397">
        <v>5.6436943272386308</v>
      </c>
      <c r="M397">
        <f t="shared" si="6"/>
        <v>5.3555578838152771</v>
      </c>
    </row>
    <row r="398" spans="1:13" x14ac:dyDescent="0.3">
      <c r="A398" t="s">
        <v>405</v>
      </c>
      <c r="B398" t="s">
        <v>974</v>
      </c>
      <c r="C398">
        <v>38.1</v>
      </c>
      <c r="D398">
        <v>11817652.25</v>
      </c>
      <c r="E398">
        <v>14984787.375</v>
      </c>
      <c r="F398">
        <v>8991848.625</v>
      </c>
      <c r="G398">
        <v>5</v>
      </c>
      <c r="H398">
        <v>7</v>
      </c>
      <c r="I398">
        <v>4</v>
      </c>
      <c r="J398">
        <v>5.3737233054781806</v>
      </c>
      <c r="K398">
        <v>6.9553948758584259</v>
      </c>
      <c r="L398">
        <v>3.7624628848257542</v>
      </c>
      <c r="M398">
        <f t="shared" si="6"/>
        <v>5.3638603553874544</v>
      </c>
    </row>
    <row r="399" spans="1:13" x14ac:dyDescent="0.3">
      <c r="A399" t="s">
        <v>406</v>
      </c>
      <c r="B399" t="s">
        <v>975</v>
      </c>
      <c r="C399">
        <v>107</v>
      </c>
      <c r="D399">
        <v>1085667.75</v>
      </c>
      <c r="E399">
        <v>0</v>
      </c>
      <c r="F399">
        <v>0</v>
      </c>
      <c r="G399">
        <v>6</v>
      </c>
      <c r="J399">
        <v>6.4484679665738156</v>
      </c>
      <c r="K399" t="s">
        <v>1184</v>
      </c>
      <c r="L399" t="s">
        <v>1184</v>
      </c>
      <c r="M399">
        <f t="shared" si="6"/>
        <v>6.4484679665738156</v>
      </c>
    </row>
    <row r="400" spans="1:13" x14ac:dyDescent="0.3">
      <c r="A400" t="s">
        <v>407</v>
      </c>
      <c r="B400" t="s">
        <v>976</v>
      </c>
      <c r="C400">
        <v>29.2</v>
      </c>
      <c r="D400">
        <v>17357245.125</v>
      </c>
      <c r="E400">
        <v>13147248.5</v>
      </c>
      <c r="F400">
        <v>15708449</v>
      </c>
      <c r="G400">
        <v>9</v>
      </c>
      <c r="H400">
        <v>8</v>
      </c>
      <c r="I400">
        <v>9</v>
      </c>
      <c r="J400">
        <v>9.6727019498607234</v>
      </c>
      <c r="K400">
        <v>7.9490227152667723</v>
      </c>
      <c r="L400">
        <v>8.4655414908579463</v>
      </c>
      <c r="M400">
        <f t="shared" si="6"/>
        <v>8.6957553853284804</v>
      </c>
    </row>
    <row r="401" spans="1:13" x14ac:dyDescent="0.3">
      <c r="A401" t="s">
        <v>408</v>
      </c>
      <c r="B401" t="s">
        <v>977</v>
      </c>
      <c r="C401">
        <v>24.1</v>
      </c>
      <c r="D401">
        <v>2283625</v>
      </c>
      <c r="E401">
        <v>2424869.25</v>
      </c>
      <c r="F401">
        <v>3130937.5</v>
      </c>
      <c r="G401">
        <v>7</v>
      </c>
      <c r="H401">
        <v>7</v>
      </c>
      <c r="I401">
        <v>6</v>
      </c>
      <c r="J401">
        <v>7.5232126276694524</v>
      </c>
      <c r="K401">
        <v>6.9553948758584259</v>
      </c>
      <c r="L401">
        <v>5.6436943272386308</v>
      </c>
      <c r="M401">
        <f t="shared" si="6"/>
        <v>6.7074339435888364</v>
      </c>
    </row>
    <row r="402" spans="1:13" x14ac:dyDescent="0.3">
      <c r="A402" t="s">
        <v>409</v>
      </c>
      <c r="B402" t="s">
        <v>978</v>
      </c>
      <c r="C402">
        <v>17.2</v>
      </c>
      <c r="D402">
        <v>2173718.4716796898</v>
      </c>
      <c r="E402">
        <v>2330093.75</v>
      </c>
      <c r="F402">
        <v>2406814.5</v>
      </c>
      <c r="G402">
        <v>16</v>
      </c>
      <c r="H402">
        <v>17</v>
      </c>
      <c r="I402">
        <v>19</v>
      </c>
      <c r="J402">
        <v>17.195914577530171</v>
      </c>
      <c r="K402">
        <v>16.89167326994189</v>
      </c>
      <c r="L402">
        <v>17.87169870292233</v>
      </c>
      <c r="M402">
        <f t="shared" si="6"/>
        <v>17.3197621834648</v>
      </c>
    </row>
    <row r="403" spans="1:13" x14ac:dyDescent="0.3">
      <c r="A403" t="s">
        <v>410</v>
      </c>
      <c r="B403" t="s">
        <v>979</v>
      </c>
      <c r="C403">
        <v>30.2</v>
      </c>
      <c r="D403">
        <v>23405543.25</v>
      </c>
      <c r="E403">
        <v>18683980.25</v>
      </c>
      <c r="F403">
        <v>22226204.9375</v>
      </c>
      <c r="G403">
        <v>13</v>
      </c>
      <c r="H403">
        <v>14</v>
      </c>
      <c r="I403">
        <v>11</v>
      </c>
      <c r="J403">
        <v>13.971680594243271</v>
      </c>
      <c r="K403">
        <v>13.91078975171685</v>
      </c>
      <c r="L403">
        <v>10.34677293327082</v>
      </c>
      <c r="M403">
        <f t="shared" si="6"/>
        <v>12.743081093076981</v>
      </c>
    </row>
    <row r="404" spans="1:13" x14ac:dyDescent="0.3">
      <c r="A404" t="s">
        <v>411</v>
      </c>
      <c r="B404" t="s">
        <v>980</v>
      </c>
      <c r="C404">
        <v>31.9</v>
      </c>
      <c r="D404">
        <v>45744455.890625</v>
      </c>
      <c r="E404">
        <v>58100646.65625</v>
      </c>
      <c r="F404">
        <v>76022059.53125</v>
      </c>
      <c r="G404">
        <v>17</v>
      </c>
      <c r="H404">
        <v>20</v>
      </c>
      <c r="I404">
        <v>20</v>
      </c>
      <c r="J404">
        <v>18.270659238625811</v>
      </c>
      <c r="K404">
        <v>19.872556788166928</v>
      </c>
      <c r="L404">
        <v>18.812314424128768</v>
      </c>
      <c r="M404">
        <f t="shared" si="6"/>
        <v>18.985176816973837</v>
      </c>
    </row>
    <row r="405" spans="1:13" x14ac:dyDescent="0.3">
      <c r="A405" t="s">
        <v>412</v>
      </c>
      <c r="B405" t="s">
        <v>981</v>
      </c>
      <c r="C405">
        <v>33.700000000000003</v>
      </c>
      <c r="D405">
        <v>1306962.34375</v>
      </c>
      <c r="E405">
        <v>1835132.4375</v>
      </c>
      <c r="F405">
        <v>2746082.75</v>
      </c>
      <c r="G405">
        <v>2</v>
      </c>
      <c r="H405">
        <v>4</v>
      </c>
      <c r="I405">
        <v>4</v>
      </c>
      <c r="J405">
        <v>2.1494893221912719</v>
      </c>
      <c r="K405">
        <v>3.9745113576333861</v>
      </c>
      <c r="L405">
        <v>3.7624628848257542</v>
      </c>
      <c r="M405">
        <f t="shared" si="6"/>
        <v>3.2954878548834707</v>
      </c>
    </row>
    <row r="406" spans="1:13" x14ac:dyDescent="0.3">
      <c r="A406" t="s">
        <v>413</v>
      </c>
      <c r="B406" t="s">
        <v>685</v>
      </c>
      <c r="C406">
        <v>81.8</v>
      </c>
      <c r="D406">
        <v>9852894.15625</v>
      </c>
      <c r="E406">
        <v>7107132.40625</v>
      </c>
      <c r="F406">
        <v>14483677.34375</v>
      </c>
      <c r="G406">
        <v>18</v>
      </c>
      <c r="H406">
        <v>14</v>
      </c>
      <c r="I406">
        <v>17</v>
      </c>
      <c r="J406">
        <v>19.34540389972145</v>
      </c>
      <c r="K406">
        <v>13.91078975171685</v>
      </c>
      <c r="L406">
        <v>15.990467260509449</v>
      </c>
      <c r="M406">
        <f t="shared" si="6"/>
        <v>16.415553637315917</v>
      </c>
    </row>
    <row r="407" spans="1:13" x14ac:dyDescent="0.3">
      <c r="A407" t="s">
        <v>414</v>
      </c>
      <c r="B407" t="s">
        <v>685</v>
      </c>
      <c r="C407">
        <v>49.7</v>
      </c>
      <c r="D407">
        <v>14590600.625</v>
      </c>
      <c r="E407">
        <v>15540078.640625</v>
      </c>
      <c r="F407">
        <v>16576460.25</v>
      </c>
      <c r="G407">
        <v>16</v>
      </c>
      <c r="H407">
        <v>19</v>
      </c>
      <c r="I407">
        <v>16</v>
      </c>
      <c r="J407">
        <v>17.195914577530171</v>
      </c>
      <c r="K407">
        <v>18.878928948758581</v>
      </c>
      <c r="L407">
        <v>15.04985153930302</v>
      </c>
      <c r="M407">
        <f t="shared" si="6"/>
        <v>17.041565021863924</v>
      </c>
    </row>
    <row r="408" spans="1:13" x14ac:dyDescent="0.3">
      <c r="A408" t="s">
        <v>415</v>
      </c>
      <c r="B408" t="s">
        <v>982</v>
      </c>
      <c r="C408">
        <v>27.3</v>
      </c>
      <c r="D408">
        <v>22759887.8515625</v>
      </c>
      <c r="E408">
        <v>13540969.125</v>
      </c>
      <c r="F408">
        <v>18444117.5625</v>
      </c>
      <c r="G408">
        <v>22</v>
      </c>
      <c r="H408">
        <v>25</v>
      </c>
      <c r="I408">
        <v>27</v>
      </c>
      <c r="J408">
        <v>23.644382544103991</v>
      </c>
      <c r="K408">
        <v>24.840695985208662</v>
      </c>
      <c r="L408">
        <v>25.396624472573841</v>
      </c>
      <c r="M408">
        <f t="shared" si="6"/>
        <v>24.627234333962164</v>
      </c>
    </row>
    <row r="409" spans="1:13" x14ac:dyDescent="0.3">
      <c r="A409" t="s">
        <v>416</v>
      </c>
      <c r="B409" t="s">
        <v>983</v>
      </c>
      <c r="C409">
        <v>32.1</v>
      </c>
      <c r="D409">
        <v>3446391.4375</v>
      </c>
      <c r="E409">
        <v>3797386</v>
      </c>
      <c r="F409">
        <v>5124172.71875</v>
      </c>
      <c r="G409">
        <v>5</v>
      </c>
      <c r="H409">
        <v>5</v>
      </c>
      <c r="I409">
        <v>7</v>
      </c>
      <c r="J409">
        <v>5.3737233054781806</v>
      </c>
      <c r="K409">
        <v>4.968139197041733</v>
      </c>
      <c r="L409">
        <v>6.5843100484450696</v>
      </c>
      <c r="M409">
        <f t="shared" si="6"/>
        <v>5.6420575169883271</v>
      </c>
    </row>
    <row r="410" spans="1:13" x14ac:dyDescent="0.3">
      <c r="A410" t="s">
        <v>417</v>
      </c>
      <c r="B410" t="s">
        <v>984</v>
      </c>
      <c r="C410">
        <v>31.1</v>
      </c>
      <c r="D410">
        <v>3044939.625</v>
      </c>
      <c r="E410">
        <v>2476211.46875</v>
      </c>
      <c r="F410">
        <v>3628687.6875</v>
      </c>
      <c r="G410">
        <v>4</v>
      </c>
      <c r="H410">
        <v>3</v>
      </c>
      <c r="I410">
        <v>4</v>
      </c>
      <c r="J410">
        <v>4.2989786443825437</v>
      </c>
      <c r="K410">
        <v>2.9808835182250402</v>
      </c>
      <c r="L410">
        <v>3.7624628848257542</v>
      </c>
      <c r="M410">
        <f t="shared" si="6"/>
        <v>3.6807750158111125</v>
      </c>
    </row>
    <row r="411" spans="1:13" x14ac:dyDescent="0.3">
      <c r="A411" t="s">
        <v>418</v>
      </c>
      <c r="B411" t="s">
        <v>985</v>
      </c>
      <c r="C411">
        <v>22.2</v>
      </c>
      <c r="D411">
        <v>38512683.1875</v>
      </c>
      <c r="E411">
        <v>39120419.4375</v>
      </c>
      <c r="F411">
        <v>34514657.3125</v>
      </c>
      <c r="G411">
        <v>25</v>
      </c>
      <c r="H411">
        <v>25</v>
      </c>
      <c r="I411">
        <v>24</v>
      </c>
      <c r="J411">
        <v>26.868616527390898</v>
      </c>
      <c r="K411">
        <v>24.840695985208662</v>
      </c>
      <c r="L411">
        <v>22.57477730895452</v>
      </c>
      <c r="M411">
        <f t="shared" si="6"/>
        <v>24.761363273851359</v>
      </c>
    </row>
    <row r="412" spans="1:13" x14ac:dyDescent="0.3">
      <c r="A412" t="s">
        <v>419</v>
      </c>
      <c r="B412" t="s">
        <v>986</v>
      </c>
      <c r="C412">
        <v>22.2</v>
      </c>
      <c r="D412">
        <v>51257222.8125</v>
      </c>
      <c r="E412">
        <v>69777529.4375</v>
      </c>
      <c r="F412">
        <v>87213566.71875</v>
      </c>
      <c r="G412">
        <v>20</v>
      </c>
      <c r="H412">
        <v>21</v>
      </c>
      <c r="I412">
        <v>23</v>
      </c>
      <c r="J412">
        <v>21.494893221912719</v>
      </c>
      <c r="K412">
        <v>20.866184627575279</v>
      </c>
      <c r="L412">
        <v>21.634161587748078</v>
      </c>
      <c r="M412">
        <f t="shared" si="6"/>
        <v>21.331746479078692</v>
      </c>
    </row>
    <row r="413" spans="1:13" x14ac:dyDescent="0.3">
      <c r="A413" t="s">
        <v>420</v>
      </c>
      <c r="B413" t="s">
        <v>987</v>
      </c>
      <c r="C413">
        <v>16.600000000000001</v>
      </c>
      <c r="D413">
        <v>7420093</v>
      </c>
      <c r="E413">
        <v>3098171.75</v>
      </c>
      <c r="F413">
        <v>3969826.8125</v>
      </c>
      <c r="G413">
        <v>9</v>
      </c>
      <c r="H413">
        <v>12</v>
      </c>
      <c r="I413">
        <v>14</v>
      </c>
      <c r="J413">
        <v>9.6727019498607234</v>
      </c>
      <c r="K413">
        <v>11.923534072900161</v>
      </c>
      <c r="L413">
        <v>13.168620096890139</v>
      </c>
      <c r="M413">
        <f t="shared" si="6"/>
        <v>11.588285373217007</v>
      </c>
    </row>
    <row r="414" spans="1:13" x14ac:dyDescent="0.3">
      <c r="A414" t="s">
        <v>421</v>
      </c>
      <c r="B414" t="s">
        <v>685</v>
      </c>
      <c r="C414">
        <v>80.900000000000006</v>
      </c>
      <c r="D414">
        <v>21468267.703125</v>
      </c>
      <c r="E414">
        <v>28143941.1875</v>
      </c>
      <c r="F414">
        <v>25540762.8125</v>
      </c>
      <c r="G414">
        <v>29</v>
      </c>
      <c r="H414">
        <v>28</v>
      </c>
      <c r="I414">
        <v>26</v>
      </c>
      <c r="J414">
        <v>31.167595171773439</v>
      </c>
      <c r="K414">
        <v>27.8215795034337</v>
      </c>
      <c r="L414">
        <v>24.456008751367399</v>
      </c>
      <c r="M414">
        <f t="shared" si="6"/>
        <v>27.815061142191514</v>
      </c>
    </row>
    <row r="415" spans="1:13" x14ac:dyDescent="0.3">
      <c r="A415" t="s">
        <v>422</v>
      </c>
      <c r="B415" t="s">
        <v>988</v>
      </c>
      <c r="C415">
        <v>33.5</v>
      </c>
      <c r="D415">
        <v>9603088.875</v>
      </c>
      <c r="E415">
        <v>11625210.3125</v>
      </c>
      <c r="F415">
        <v>10777676</v>
      </c>
      <c r="G415">
        <v>8</v>
      </c>
      <c r="H415">
        <v>7</v>
      </c>
      <c r="I415">
        <v>6</v>
      </c>
      <c r="J415">
        <v>8.5979572887650875</v>
      </c>
      <c r="K415">
        <v>6.9553948758584259</v>
      </c>
      <c r="L415">
        <v>5.6436943272386308</v>
      </c>
      <c r="M415">
        <f t="shared" si="6"/>
        <v>7.0656821639540484</v>
      </c>
    </row>
    <row r="416" spans="1:13" x14ac:dyDescent="0.3">
      <c r="A416" t="s">
        <v>423</v>
      </c>
      <c r="B416" t="s">
        <v>989</v>
      </c>
      <c r="C416">
        <v>58.8</v>
      </c>
      <c r="D416">
        <v>1805936.125</v>
      </c>
      <c r="E416">
        <v>2021389.8125</v>
      </c>
      <c r="F416">
        <v>1432154</v>
      </c>
      <c r="G416">
        <v>3</v>
      </c>
      <c r="H416">
        <v>3</v>
      </c>
      <c r="I416">
        <v>3</v>
      </c>
      <c r="J416">
        <v>3.2242339832869078</v>
      </c>
      <c r="K416">
        <v>2.9808835182250402</v>
      </c>
      <c r="L416">
        <v>2.821847163619315</v>
      </c>
      <c r="M416">
        <f t="shared" si="6"/>
        <v>3.0089882217104211</v>
      </c>
    </row>
    <row r="417" spans="1:13" x14ac:dyDescent="0.3">
      <c r="A417" t="s">
        <v>424</v>
      </c>
      <c r="B417" t="s">
        <v>990</v>
      </c>
      <c r="C417">
        <v>18.8</v>
      </c>
      <c r="D417">
        <v>360026.1875</v>
      </c>
      <c r="E417">
        <v>726071.875</v>
      </c>
      <c r="F417">
        <v>1931530.5</v>
      </c>
      <c r="G417">
        <v>3</v>
      </c>
      <c r="H417">
        <v>3</v>
      </c>
      <c r="I417">
        <v>4</v>
      </c>
      <c r="J417">
        <v>3.2242339832869078</v>
      </c>
      <c r="K417">
        <v>2.9808835182250402</v>
      </c>
      <c r="L417">
        <v>3.7624628848257542</v>
      </c>
      <c r="M417">
        <f t="shared" si="6"/>
        <v>3.3225267954459006</v>
      </c>
    </row>
    <row r="418" spans="1:13" x14ac:dyDescent="0.3">
      <c r="A418" t="s">
        <v>425</v>
      </c>
      <c r="B418" t="s">
        <v>991</v>
      </c>
      <c r="C418">
        <v>37.299999999999997</v>
      </c>
      <c r="D418">
        <v>9423250.6875</v>
      </c>
      <c r="E418">
        <v>13505407.9375</v>
      </c>
      <c r="F418">
        <v>18403407.125</v>
      </c>
      <c r="G418">
        <v>32</v>
      </c>
      <c r="H418">
        <v>34</v>
      </c>
      <c r="I418">
        <v>34</v>
      </c>
      <c r="J418">
        <v>34.39182915506035</v>
      </c>
      <c r="K418">
        <v>33.78334653988378</v>
      </c>
      <c r="L418">
        <v>31.980934521018909</v>
      </c>
      <c r="M418">
        <f t="shared" si="6"/>
        <v>33.38537007198768</v>
      </c>
    </row>
    <row r="419" spans="1:13" x14ac:dyDescent="0.3">
      <c r="A419" t="s">
        <v>426</v>
      </c>
      <c r="B419" t="s">
        <v>992</v>
      </c>
      <c r="C419">
        <v>15.3</v>
      </c>
      <c r="D419">
        <v>2160395</v>
      </c>
      <c r="E419">
        <v>1491380.375</v>
      </c>
      <c r="F419">
        <v>2336752</v>
      </c>
      <c r="G419">
        <v>6</v>
      </c>
      <c r="H419">
        <v>6</v>
      </c>
      <c r="I419">
        <v>6</v>
      </c>
      <c r="J419">
        <v>6.4484679665738156</v>
      </c>
      <c r="K419">
        <v>5.9617670364500794</v>
      </c>
      <c r="L419">
        <v>5.6436943272386308</v>
      </c>
      <c r="M419">
        <f t="shared" si="6"/>
        <v>6.0179764434208423</v>
      </c>
    </row>
    <row r="420" spans="1:13" x14ac:dyDescent="0.3">
      <c r="A420" t="s">
        <v>427</v>
      </c>
      <c r="B420" t="s">
        <v>993</v>
      </c>
      <c r="C420">
        <v>30.3</v>
      </c>
      <c r="D420">
        <v>3350586.1875</v>
      </c>
      <c r="E420">
        <v>4335282</v>
      </c>
      <c r="F420">
        <v>4302519.5</v>
      </c>
      <c r="G420">
        <v>5</v>
      </c>
      <c r="H420">
        <v>7</v>
      </c>
      <c r="I420">
        <v>6</v>
      </c>
      <c r="J420">
        <v>5.3737233054781806</v>
      </c>
      <c r="K420">
        <v>6.9553948758584259</v>
      </c>
      <c r="L420">
        <v>5.6436943272386308</v>
      </c>
      <c r="M420">
        <f t="shared" si="6"/>
        <v>5.9909375028584124</v>
      </c>
    </row>
    <row r="421" spans="1:13" x14ac:dyDescent="0.3">
      <c r="A421" t="s">
        <v>428</v>
      </c>
      <c r="B421" t="s">
        <v>994</v>
      </c>
      <c r="C421">
        <v>48.2</v>
      </c>
      <c r="D421">
        <v>17883538</v>
      </c>
      <c r="E421">
        <v>23777606</v>
      </c>
      <c r="F421">
        <v>19020662</v>
      </c>
      <c r="G421">
        <v>4</v>
      </c>
      <c r="H421">
        <v>5</v>
      </c>
      <c r="I421">
        <v>4</v>
      </c>
      <c r="J421">
        <v>4.2989786443825437</v>
      </c>
      <c r="K421">
        <v>4.968139197041733</v>
      </c>
      <c r="L421">
        <v>3.7624628848257542</v>
      </c>
      <c r="M421">
        <f t="shared" si="6"/>
        <v>4.3431935754166773</v>
      </c>
    </row>
    <row r="422" spans="1:13" x14ac:dyDescent="0.3">
      <c r="A422" t="s">
        <v>429</v>
      </c>
      <c r="B422" t="s">
        <v>995</v>
      </c>
      <c r="C422">
        <v>41.3</v>
      </c>
      <c r="D422">
        <v>15268340.8125</v>
      </c>
      <c r="E422">
        <v>16877018.125</v>
      </c>
      <c r="F422">
        <v>5650611.625</v>
      </c>
      <c r="G422">
        <v>38</v>
      </c>
      <c r="H422">
        <v>38</v>
      </c>
      <c r="I422">
        <v>32</v>
      </c>
      <c r="J422">
        <v>40.840297121634173</v>
      </c>
      <c r="K422">
        <v>37.757857897517169</v>
      </c>
      <c r="L422">
        <v>30.09970307860603</v>
      </c>
      <c r="M422">
        <f t="shared" si="6"/>
        <v>36.23261936591912</v>
      </c>
    </row>
    <row r="423" spans="1:13" x14ac:dyDescent="0.3">
      <c r="A423" t="s">
        <v>430</v>
      </c>
      <c r="B423" t="s">
        <v>996</v>
      </c>
      <c r="C423">
        <v>27</v>
      </c>
      <c r="D423">
        <v>4049629.625</v>
      </c>
      <c r="E423">
        <v>0</v>
      </c>
      <c r="F423">
        <v>0</v>
      </c>
      <c r="G423">
        <v>13</v>
      </c>
      <c r="J423">
        <v>13.971680594243271</v>
      </c>
      <c r="K423" t="s">
        <v>1184</v>
      </c>
      <c r="L423" t="s">
        <v>1184</v>
      </c>
      <c r="M423">
        <f t="shared" si="6"/>
        <v>13.971680594243271</v>
      </c>
    </row>
    <row r="424" spans="1:13" x14ac:dyDescent="0.3">
      <c r="A424" t="s">
        <v>431</v>
      </c>
      <c r="B424" t="s">
        <v>685</v>
      </c>
      <c r="C424">
        <v>96.7</v>
      </c>
      <c r="D424">
        <v>1345524.375</v>
      </c>
      <c r="E424">
        <v>4202954.34375</v>
      </c>
      <c r="F424">
        <v>6026961.25</v>
      </c>
      <c r="G424">
        <v>5</v>
      </c>
      <c r="H424">
        <v>5</v>
      </c>
      <c r="I424">
        <v>7</v>
      </c>
      <c r="J424">
        <v>5.3737233054781806</v>
      </c>
      <c r="K424">
        <v>4.968139197041733</v>
      </c>
      <c r="L424">
        <v>6.5843100484450696</v>
      </c>
      <c r="M424">
        <f t="shared" si="6"/>
        <v>5.6420575169883271</v>
      </c>
    </row>
    <row r="425" spans="1:13" x14ac:dyDescent="0.3">
      <c r="A425" t="s">
        <v>432</v>
      </c>
      <c r="B425" t="s">
        <v>997</v>
      </c>
      <c r="C425">
        <v>11.8</v>
      </c>
      <c r="D425">
        <v>12706969.875</v>
      </c>
      <c r="E425">
        <v>7550166.0625</v>
      </c>
      <c r="F425">
        <v>6039424</v>
      </c>
      <c r="G425">
        <v>6</v>
      </c>
      <c r="H425">
        <v>6</v>
      </c>
      <c r="I425">
        <v>4</v>
      </c>
      <c r="J425">
        <v>6.4484679665738156</v>
      </c>
      <c r="K425">
        <v>5.9617670364500794</v>
      </c>
      <c r="L425">
        <v>3.7624628848257542</v>
      </c>
      <c r="M425">
        <f t="shared" si="6"/>
        <v>5.3908992959498834</v>
      </c>
    </row>
    <row r="426" spans="1:13" x14ac:dyDescent="0.3">
      <c r="A426" t="s">
        <v>433</v>
      </c>
      <c r="B426" t="s">
        <v>998</v>
      </c>
      <c r="C426">
        <v>31.8</v>
      </c>
      <c r="D426">
        <v>22751.607421875</v>
      </c>
      <c r="E426">
        <v>141959.5625</v>
      </c>
      <c r="F426">
        <v>169763.171875</v>
      </c>
      <c r="G426">
        <v>3</v>
      </c>
      <c r="H426">
        <v>4</v>
      </c>
      <c r="I426">
        <v>3</v>
      </c>
      <c r="J426">
        <v>3.2242339832869078</v>
      </c>
      <c r="K426">
        <v>3.9745113576333861</v>
      </c>
      <c r="L426">
        <v>2.821847163619315</v>
      </c>
      <c r="M426">
        <f t="shared" si="6"/>
        <v>3.3401975015132028</v>
      </c>
    </row>
    <row r="427" spans="1:13" x14ac:dyDescent="0.3">
      <c r="A427" t="s">
        <v>434</v>
      </c>
      <c r="B427" t="s">
        <v>999</v>
      </c>
      <c r="C427">
        <v>43.2</v>
      </c>
      <c r="D427">
        <v>8415478.875</v>
      </c>
      <c r="E427">
        <v>10044620.375</v>
      </c>
      <c r="F427">
        <v>13104742.875</v>
      </c>
      <c r="G427">
        <v>9</v>
      </c>
      <c r="H427">
        <v>6</v>
      </c>
      <c r="I427">
        <v>9</v>
      </c>
      <c r="J427">
        <v>9.6727019498607234</v>
      </c>
      <c r="K427">
        <v>5.9617670364500794</v>
      </c>
      <c r="L427">
        <v>8.4655414908579463</v>
      </c>
      <c r="M427">
        <f t="shared" si="6"/>
        <v>8.0333368257229179</v>
      </c>
    </row>
    <row r="428" spans="1:13" x14ac:dyDescent="0.3">
      <c r="A428" t="s">
        <v>435</v>
      </c>
      <c r="B428" t="s">
        <v>1000</v>
      </c>
      <c r="C428">
        <v>53.5</v>
      </c>
      <c r="D428">
        <v>749238.40625</v>
      </c>
      <c r="E428">
        <v>0</v>
      </c>
      <c r="F428">
        <v>1497620.875</v>
      </c>
      <c r="G428">
        <v>3</v>
      </c>
      <c r="I428">
        <v>5</v>
      </c>
      <c r="J428">
        <v>3.2242339832869078</v>
      </c>
      <c r="K428" t="s">
        <v>1184</v>
      </c>
      <c r="L428">
        <v>4.7030786060321921</v>
      </c>
      <c r="M428">
        <f t="shared" si="6"/>
        <v>3.9636562946595499</v>
      </c>
    </row>
    <row r="429" spans="1:13" x14ac:dyDescent="0.3">
      <c r="A429" t="s">
        <v>436</v>
      </c>
      <c r="B429" t="s">
        <v>685</v>
      </c>
      <c r="C429">
        <v>79.2</v>
      </c>
      <c r="D429">
        <v>11384606.5</v>
      </c>
      <c r="E429">
        <v>0</v>
      </c>
      <c r="F429">
        <v>909820.6875</v>
      </c>
      <c r="G429">
        <v>22</v>
      </c>
      <c r="I429">
        <v>20</v>
      </c>
      <c r="J429">
        <v>23.644382544103991</v>
      </c>
      <c r="K429" t="s">
        <v>1184</v>
      </c>
      <c r="L429">
        <v>18.812314424128768</v>
      </c>
      <c r="M429">
        <f t="shared" si="6"/>
        <v>21.228348484116381</v>
      </c>
    </row>
    <row r="430" spans="1:13" x14ac:dyDescent="0.3">
      <c r="A430" t="s">
        <v>437</v>
      </c>
      <c r="B430" t="s">
        <v>685</v>
      </c>
      <c r="C430">
        <v>56.1</v>
      </c>
      <c r="D430">
        <v>133834213.25</v>
      </c>
      <c r="E430">
        <v>160143842.125</v>
      </c>
      <c r="F430">
        <v>206429273.125</v>
      </c>
      <c r="G430">
        <v>204</v>
      </c>
      <c r="H430">
        <v>241</v>
      </c>
      <c r="I430">
        <v>267</v>
      </c>
      <c r="J430">
        <v>219.2479108635097</v>
      </c>
      <c r="K430">
        <v>239.46430929741149</v>
      </c>
      <c r="L430">
        <v>251.14439756211911</v>
      </c>
      <c r="M430">
        <f t="shared" si="6"/>
        <v>236.6188725743468</v>
      </c>
    </row>
    <row r="431" spans="1:13" x14ac:dyDescent="0.3">
      <c r="A431" t="s">
        <v>438</v>
      </c>
      <c r="B431" t="s">
        <v>1001</v>
      </c>
      <c r="C431">
        <v>80.2</v>
      </c>
      <c r="D431">
        <v>4914114.625</v>
      </c>
      <c r="E431">
        <v>5946546.25</v>
      </c>
      <c r="F431">
        <v>4900726.3125</v>
      </c>
      <c r="G431">
        <v>15</v>
      </c>
      <c r="H431">
        <v>18</v>
      </c>
      <c r="I431">
        <v>15</v>
      </c>
      <c r="J431">
        <v>16.121169916434539</v>
      </c>
      <c r="K431">
        <v>17.885301109350241</v>
      </c>
      <c r="L431">
        <v>14.109235818096581</v>
      </c>
      <c r="M431">
        <f t="shared" si="6"/>
        <v>16.038568947960453</v>
      </c>
    </row>
    <row r="432" spans="1:13" x14ac:dyDescent="0.3">
      <c r="A432" t="s">
        <v>439</v>
      </c>
      <c r="B432" t="s">
        <v>1002</v>
      </c>
      <c r="C432">
        <v>29.1</v>
      </c>
      <c r="D432">
        <v>4681162.375</v>
      </c>
      <c r="E432">
        <v>3513899.375</v>
      </c>
      <c r="F432">
        <v>3943964.5</v>
      </c>
      <c r="G432">
        <v>34</v>
      </c>
      <c r="H432">
        <v>32</v>
      </c>
      <c r="I432">
        <v>32</v>
      </c>
      <c r="J432">
        <v>36.541318477251622</v>
      </c>
      <c r="K432">
        <v>31.796090861067089</v>
      </c>
      <c r="L432">
        <v>30.09970307860603</v>
      </c>
      <c r="M432">
        <f t="shared" si="6"/>
        <v>32.812370805641578</v>
      </c>
    </row>
    <row r="433" spans="1:13" x14ac:dyDescent="0.3">
      <c r="A433" t="s">
        <v>440</v>
      </c>
      <c r="B433" t="s">
        <v>685</v>
      </c>
      <c r="C433">
        <v>10.199999999999999</v>
      </c>
      <c r="D433">
        <v>0</v>
      </c>
      <c r="E433">
        <v>0</v>
      </c>
      <c r="F433">
        <v>0</v>
      </c>
      <c r="G433">
        <v>4</v>
      </c>
      <c r="I433">
        <v>4</v>
      </c>
      <c r="J433">
        <v>4.2989786443825437</v>
      </c>
      <c r="K433" t="s">
        <v>1184</v>
      </c>
      <c r="L433">
        <v>3.7624628848257542</v>
      </c>
      <c r="M433">
        <f t="shared" si="6"/>
        <v>4.0307207646041494</v>
      </c>
    </row>
    <row r="434" spans="1:13" x14ac:dyDescent="0.3">
      <c r="A434" t="s">
        <v>441</v>
      </c>
      <c r="B434" t="s">
        <v>1003</v>
      </c>
      <c r="C434">
        <v>25.6</v>
      </c>
      <c r="D434">
        <v>3914533.125</v>
      </c>
      <c r="E434">
        <v>6202300.125</v>
      </c>
      <c r="F434">
        <v>3653539.25</v>
      </c>
      <c r="G434">
        <v>6</v>
      </c>
      <c r="H434">
        <v>5</v>
      </c>
      <c r="I434">
        <v>5</v>
      </c>
      <c r="J434">
        <v>6.4484679665738156</v>
      </c>
      <c r="K434">
        <v>4.968139197041733</v>
      </c>
      <c r="L434">
        <v>4.7030786060321921</v>
      </c>
      <c r="M434">
        <f t="shared" si="6"/>
        <v>5.3732285898825802</v>
      </c>
    </row>
    <row r="435" spans="1:13" x14ac:dyDescent="0.3">
      <c r="A435" t="s">
        <v>442</v>
      </c>
      <c r="B435" t="s">
        <v>685</v>
      </c>
      <c r="C435">
        <v>19.3</v>
      </c>
      <c r="D435">
        <v>49298941.9375</v>
      </c>
      <c r="E435">
        <v>51499134.1875</v>
      </c>
      <c r="F435">
        <v>69115268.875</v>
      </c>
      <c r="G435">
        <v>12</v>
      </c>
      <c r="H435">
        <v>14</v>
      </c>
      <c r="I435">
        <v>14</v>
      </c>
      <c r="J435">
        <v>12.896935933147629</v>
      </c>
      <c r="K435">
        <v>13.91078975171685</v>
      </c>
      <c r="L435">
        <v>13.168620096890139</v>
      </c>
      <c r="M435">
        <f t="shared" si="6"/>
        <v>13.325448593918205</v>
      </c>
    </row>
    <row r="436" spans="1:13" x14ac:dyDescent="0.3">
      <c r="A436" t="s">
        <v>443</v>
      </c>
      <c r="B436" t="s">
        <v>685</v>
      </c>
      <c r="C436">
        <v>14.7</v>
      </c>
      <c r="D436">
        <v>5808880.4375</v>
      </c>
      <c r="E436">
        <v>0</v>
      </c>
      <c r="F436">
        <v>0</v>
      </c>
      <c r="G436">
        <v>4</v>
      </c>
      <c r="J436">
        <v>4.2989786443825437</v>
      </c>
      <c r="K436" t="s">
        <v>1184</v>
      </c>
      <c r="L436" t="s">
        <v>1184</v>
      </c>
      <c r="M436">
        <f t="shared" si="6"/>
        <v>4.2989786443825437</v>
      </c>
    </row>
    <row r="437" spans="1:13" x14ac:dyDescent="0.3">
      <c r="A437" t="s">
        <v>444</v>
      </c>
      <c r="B437" t="s">
        <v>685</v>
      </c>
      <c r="C437">
        <v>29.5</v>
      </c>
      <c r="D437">
        <v>42787013.125</v>
      </c>
      <c r="E437">
        <v>44052401.15625</v>
      </c>
      <c r="F437">
        <v>42347787.8125</v>
      </c>
      <c r="G437">
        <v>29</v>
      </c>
      <c r="H437">
        <v>27</v>
      </c>
      <c r="I437">
        <v>29</v>
      </c>
      <c r="J437">
        <v>31.167595171773439</v>
      </c>
      <c r="K437">
        <v>26.827951664025349</v>
      </c>
      <c r="L437">
        <v>27.277855914986709</v>
      </c>
      <c r="M437">
        <f t="shared" si="6"/>
        <v>28.424467583595163</v>
      </c>
    </row>
    <row r="438" spans="1:13" x14ac:dyDescent="0.3">
      <c r="A438" t="s">
        <v>445</v>
      </c>
      <c r="B438" t="s">
        <v>685</v>
      </c>
      <c r="C438">
        <v>41.3</v>
      </c>
      <c r="D438">
        <v>1901098.9375</v>
      </c>
      <c r="E438">
        <v>0</v>
      </c>
      <c r="F438">
        <v>0</v>
      </c>
      <c r="G438">
        <v>3</v>
      </c>
      <c r="J438">
        <v>3.2242339832869078</v>
      </c>
      <c r="K438" t="s">
        <v>1184</v>
      </c>
      <c r="L438" t="s">
        <v>1184</v>
      </c>
      <c r="M438">
        <f t="shared" si="6"/>
        <v>3.2242339832869078</v>
      </c>
    </row>
    <row r="439" spans="1:13" x14ac:dyDescent="0.3">
      <c r="A439" t="s">
        <v>446</v>
      </c>
      <c r="B439" t="s">
        <v>685</v>
      </c>
      <c r="C439">
        <v>61.1</v>
      </c>
      <c r="D439">
        <v>3650112.4375</v>
      </c>
      <c r="E439">
        <v>2770701.125</v>
      </c>
      <c r="F439">
        <v>4580241.125</v>
      </c>
      <c r="G439">
        <v>4</v>
      </c>
      <c r="H439">
        <v>3</v>
      </c>
      <c r="I439">
        <v>5</v>
      </c>
      <c r="J439">
        <v>4.2989786443825437</v>
      </c>
      <c r="K439">
        <v>2.9808835182250402</v>
      </c>
      <c r="L439">
        <v>4.7030786060321921</v>
      </c>
      <c r="M439">
        <f t="shared" si="6"/>
        <v>3.9943135895465915</v>
      </c>
    </row>
    <row r="440" spans="1:13" x14ac:dyDescent="0.3">
      <c r="A440" t="s">
        <v>447</v>
      </c>
      <c r="B440" t="s">
        <v>685</v>
      </c>
      <c r="C440">
        <v>54.9</v>
      </c>
      <c r="D440">
        <v>1452850.96875</v>
      </c>
      <c r="E440">
        <v>1639933.15625</v>
      </c>
      <c r="F440">
        <v>1587238.625</v>
      </c>
      <c r="G440">
        <v>2</v>
      </c>
      <c r="H440">
        <v>4</v>
      </c>
      <c r="I440">
        <v>3</v>
      </c>
      <c r="J440">
        <v>2.1494893221912719</v>
      </c>
      <c r="K440">
        <v>3.9745113576333861</v>
      </c>
      <c r="L440">
        <v>2.821847163619315</v>
      </c>
      <c r="M440">
        <f t="shared" si="6"/>
        <v>2.9819492811479908</v>
      </c>
    </row>
    <row r="441" spans="1:13" x14ac:dyDescent="0.3">
      <c r="A441" t="s">
        <v>448</v>
      </c>
      <c r="B441" t="s">
        <v>685</v>
      </c>
      <c r="C441">
        <v>61.3</v>
      </c>
      <c r="D441">
        <v>3873443.078125</v>
      </c>
      <c r="E441">
        <v>4148285.1875</v>
      </c>
      <c r="F441">
        <v>10679817.75</v>
      </c>
      <c r="G441">
        <v>6</v>
      </c>
      <c r="H441">
        <v>4</v>
      </c>
      <c r="I441">
        <v>9</v>
      </c>
      <c r="J441">
        <v>6.4484679665738156</v>
      </c>
      <c r="K441">
        <v>3.9745113576333861</v>
      </c>
      <c r="L441">
        <v>8.4655414908579463</v>
      </c>
      <c r="M441">
        <f t="shared" si="6"/>
        <v>6.2961736050217167</v>
      </c>
    </row>
    <row r="442" spans="1:13" x14ac:dyDescent="0.3">
      <c r="A442" t="s">
        <v>449</v>
      </c>
      <c r="B442" t="s">
        <v>685</v>
      </c>
      <c r="C442">
        <v>80.7</v>
      </c>
      <c r="D442">
        <v>6089743.0625</v>
      </c>
      <c r="E442">
        <v>3838680.625</v>
      </c>
      <c r="F442">
        <v>3185571.875</v>
      </c>
      <c r="G442">
        <v>5</v>
      </c>
      <c r="H442">
        <v>5</v>
      </c>
      <c r="I442">
        <v>4</v>
      </c>
      <c r="J442">
        <v>5.3737233054781806</v>
      </c>
      <c r="K442">
        <v>4.968139197041733</v>
      </c>
      <c r="L442">
        <v>3.7624628848257542</v>
      </c>
      <c r="M442">
        <f t="shared" si="6"/>
        <v>4.7014417957818893</v>
      </c>
    </row>
    <row r="443" spans="1:13" x14ac:dyDescent="0.3">
      <c r="A443" t="s">
        <v>450</v>
      </c>
      <c r="B443" t="s">
        <v>685</v>
      </c>
      <c r="C443">
        <v>27</v>
      </c>
      <c r="D443">
        <v>46742845</v>
      </c>
      <c r="E443">
        <v>57729115.75</v>
      </c>
      <c r="F443">
        <v>59250104.25</v>
      </c>
      <c r="G443">
        <v>11</v>
      </c>
      <c r="H443">
        <v>12</v>
      </c>
      <c r="I443">
        <v>13</v>
      </c>
      <c r="J443">
        <v>11.822191272052001</v>
      </c>
      <c r="K443">
        <v>11.923534072900161</v>
      </c>
      <c r="L443">
        <v>12.2280043756837</v>
      </c>
      <c r="M443">
        <f t="shared" si="6"/>
        <v>11.991243240211952</v>
      </c>
    </row>
    <row r="444" spans="1:13" x14ac:dyDescent="0.3">
      <c r="A444" t="s">
        <v>451</v>
      </c>
      <c r="B444" t="s">
        <v>685</v>
      </c>
      <c r="C444">
        <v>26.1</v>
      </c>
      <c r="D444">
        <v>3427297</v>
      </c>
      <c r="E444">
        <v>2388410.75</v>
      </c>
      <c r="F444">
        <v>0</v>
      </c>
      <c r="G444">
        <v>5</v>
      </c>
      <c r="H444">
        <v>3</v>
      </c>
      <c r="J444">
        <v>5.3737233054781806</v>
      </c>
      <c r="K444">
        <v>2.9808835182250402</v>
      </c>
      <c r="L444" t="s">
        <v>1184</v>
      </c>
      <c r="M444">
        <f t="shared" si="6"/>
        <v>4.1773034118516108</v>
      </c>
    </row>
    <row r="445" spans="1:13" x14ac:dyDescent="0.3">
      <c r="A445" t="s">
        <v>452</v>
      </c>
      <c r="B445" t="s">
        <v>685</v>
      </c>
      <c r="C445">
        <v>60.4</v>
      </c>
      <c r="D445">
        <v>1778053</v>
      </c>
      <c r="E445">
        <v>1641580.75</v>
      </c>
      <c r="F445">
        <v>1382983.875</v>
      </c>
      <c r="G445">
        <v>3</v>
      </c>
      <c r="H445">
        <v>3</v>
      </c>
      <c r="I445">
        <v>3</v>
      </c>
      <c r="J445">
        <v>3.2242339832869078</v>
      </c>
      <c r="K445">
        <v>2.9808835182250402</v>
      </c>
      <c r="L445">
        <v>2.821847163619315</v>
      </c>
      <c r="M445">
        <f t="shared" si="6"/>
        <v>3.0089882217104211</v>
      </c>
    </row>
    <row r="446" spans="1:13" x14ac:dyDescent="0.3">
      <c r="A446" t="s">
        <v>453</v>
      </c>
      <c r="B446" t="s">
        <v>685</v>
      </c>
      <c r="C446">
        <v>80.900000000000006</v>
      </c>
      <c r="D446">
        <v>17116403.625</v>
      </c>
      <c r="E446">
        <v>18164363.53125</v>
      </c>
      <c r="F446">
        <v>27644449.625</v>
      </c>
      <c r="G446">
        <v>12</v>
      </c>
      <c r="H446">
        <v>14</v>
      </c>
      <c r="I446">
        <v>17</v>
      </c>
      <c r="J446">
        <v>12.896935933147629</v>
      </c>
      <c r="K446">
        <v>13.91078975171685</v>
      </c>
      <c r="L446">
        <v>15.990467260509449</v>
      </c>
      <c r="M446">
        <f t="shared" si="6"/>
        <v>14.266064315124643</v>
      </c>
    </row>
    <row r="447" spans="1:13" x14ac:dyDescent="0.3">
      <c r="A447" t="s">
        <v>454</v>
      </c>
      <c r="B447" t="s">
        <v>685</v>
      </c>
      <c r="C447">
        <v>29.7</v>
      </c>
      <c r="D447">
        <v>15978454.25</v>
      </c>
      <c r="E447">
        <v>10913454.1875</v>
      </c>
      <c r="F447">
        <v>9642362.5</v>
      </c>
      <c r="G447">
        <v>18</v>
      </c>
      <c r="H447">
        <v>19</v>
      </c>
      <c r="I447">
        <v>16</v>
      </c>
      <c r="J447">
        <v>19.34540389972145</v>
      </c>
      <c r="K447">
        <v>18.878928948758581</v>
      </c>
      <c r="L447">
        <v>15.04985153930302</v>
      </c>
      <c r="M447">
        <f t="shared" si="6"/>
        <v>17.758061462594352</v>
      </c>
    </row>
    <row r="448" spans="1:13" x14ac:dyDescent="0.3">
      <c r="A448" t="s">
        <v>455</v>
      </c>
      <c r="B448" t="s">
        <v>685</v>
      </c>
      <c r="C448">
        <v>42.6</v>
      </c>
      <c r="D448">
        <v>3344148</v>
      </c>
      <c r="E448">
        <v>3003874</v>
      </c>
      <c r="F448">
        <v>6705524.375</v>
      </c>
      <c r="G448">
        <v>6</v>
      </c>
      <c r="H448">
        <v>5</v>
      </c>
      <c r="I448">
        <v>7</v>
      </c>
      <c r="J448">
        <v>6.4484679665738156</v>
      </c>
      <c r="K448">
        <v>4.968139197041733</v>
      </c>
      <c r="L448">
        <v>6.5843100484450696</v>
      </c>
      <c r="M448">
        <f t="shared" si="6"/>
        <v>6.0003057373535391</v>
      </c>
    </row>
    <row r="449" spans="1:13" x14ac:dyDescent="0.3">
      <c r="A449" t="s">
        <v>456</v>
      </c>
      <c r="B449" t="s">
        <v>685</v>
      </c>
      <c r="C449">
        <v>41.1</v>
      </c>
      <c r="D449">
        <v>94207365.3125</v>
      </c>
      <c r="E449">
        <v>85165568.25</v>
      </c>
      <c r="F449">
        <v>83810771</v>
      </c>
      <c r="G449">
        <v>45</v>
      </c>
      <c r="H449">
        <v>46</v>
      </c>
      <c r="I449">
        <v>42</v>
      </c>
      <c r="J449">
        <v>48.363509749303617</v>
      </c>
      <c r="K449">
        <v>45.706880612783927</v>
      </c>
      <c r="L449">
        <v>39.505860290670412</v>
      </c>
      <c r="M449">
        <f t="shared" si="6"/>
        <v>44.52541688425265</v>
      </c>
    </row>
    <row r="450" spans="1:13" x14ac:dyDescent="0.3">
      <c r="A450" t="s">
        <v>457</v>
      </c>
      <c r="B450" t="s">
        <v>685</v>
      </c>
      <c r="C450">
        <v>41.7</v>
      </c>
      <c r="D450">
        <v>9905925.15625</v>
      </c>
      <c r="E450">
        <v>11215277.03125</v>
      </c>
      <c r="F450">
        <v>17301541.90625</v>
      </c>
      <c r="G450">
        <v>12</v>
      </c>
      <c r="H450">
        <v>12</v>
      </c>
      <c r="I450">
        <v>14</v>
      </c>
      <c r="J450">
        <v>12.896935933147629</v>
      </c>
      <c r="K450">
        <v>11.923534072900161</v>
      </c>
      <c r="L450">
        <v>13.168620096890139</v>
      </c>
      <c r="M450">
        <f t="shared" si="6"/>
        <v>12.663030034312643</v>
      </c>
    </row>
    <row r="451" spans="1:13" x14ac:dyDescent="0.3">
      <c r="A451" t="s">
        <v>458</v>
      </c>
      <c r="B451" t="s">
        <v>685</v>
      </c>
      <c r="C451">
        <v>45.9</v>
      </c>
      <c r="D451">
        <v>1490316.8125</v>
      </c>
      <c r="E451">
        <v>1947365.96875</v>
      </c>
      <c r="F451">
        <v>4613655.8125</v>
      </c>
      <c r="G451">
        <v>15</v>
      </c>
      <c r="H451">
        <v>16</v>
      </c>
      <c r="I451">
        <v>22</v>
      </c>
      <c r="J451">
        <v>16.121169916434539</v>
      </c>
      <c r="K451">
        <v>15.898045430533539</v>
      </c>
      <c r="L451">
        <v>20.693545866541651</v>
      </c>
      <c r="M451">
        <f t="shared" si="6"/>
        <v>17.570920404503244</v>
      </c>
    </row>
    <row r="452" spans="1:13" x14ac:dyDescent="0.3">
      <c r="A452" t="s">
        <v>459</v>
      </c>
      <c r="B452" t="s">
        <v>685</v>
      </c>
      <c r="C452">
        <v>27.2</v>
      </c>
      <c r="D452">
        <v>1907593.5</v>
      </c>
      <c r="E452">
        <v>1464063.75</v>
      </c>
      <c r="F452">
        <v>1554149.125</v>
      </c>
      <c r="G452">
        <v>11</v>
      </c>
      <c r="H452">
        <v>9</v>
      </c>
      <c r="I452">
        <v>9</v>
      </c>
      <c r="J452">
        <v>11.822191272052001</v>
      </c>
      <c r="K452">
        <v>8.9426505546751187</v>
      </c>
      <c r="L452">
        <v>8.4655414908579463</v>
      </c>
      <c r="M452">
        <f t="shared" ref="M452:M515" si="7">AVERAGE(J452:L452)</f>
        <v>9.7434611058616891</v>
      </c>
    </row>
    <row r="453" spans="1:13" x14ac:dyDescent="0.3">
      <c r="A453" t="s">
        <v>460</v>
      </c>
      <c r="B453" t="s">
        <v>685</v>
      </c>
      <c r="C453">
        <v>54.4</v>
      </c>
      <c r="D453">
        <v>20017383</v>
      </c>
      <c r="E453">
        <v>18756964</v>
      </c>
      <c r="F453">
        <v>28448660.5</v>
      </c>
      <c r="G453">
        <v>61</v>
      </c>
      <c r="H453">
        <v>63</v>
      </c>
      <c r="I453">
        <v>62</v>
      </c>
      <c r="J453">
        <v>65.559424326833792</v>
      </c>
      <c r="K453">
        <v>62.598553882725817</v>
      </c>
      <c r="L453">
        <v>58.318174714799191</v>
      </c>
      <c r="M453">
        <f t="shared" si="7"/>
        <v>62.158717641452938</v>
      </c>
    </row>
    <row r="454" spans="1:13" x14ac:dyDescent="0.3">
      <c r="A454" t="s">
        <v>461</v>
      </c>
      <c r="B454" t="s">
        <v>1004</v>
      </c>
      <c r="C454">
        <v>68.8</v>
      </c>
      <c r="D454">
        <v>4824272.24609375</v>
      </c>
      <c r="E454">
        <v>4355653.65625</v>
      </c>
      <c r="F454">
        <v>5630970.5625</v>
      </c>
      <c r="G454">
        <v>7</v>
      </c>
      <c r="H454">
        <v>7</v>
      </c>
      <c r="I454">
        <v>8</v>
      </c>
      <c r="J454">
        <v>7.5232126276694524</v>
      </c>
      <c r="K454">
        <v>6.9553948758584259</v>
      </c>
      <c r="L454">
        <v>7.5249257696515084</v>
      </c>
      <c r="M454">
        <f t="shared" si="7"/>
        <v>7.3345110910597953</v>
      </c>
    </row>
    <row r="455" spans="1:13" x14ac:dyDescent="0.3">
      <c r="A455" t="s">
        <v>462</v>
      </c>
      <c r="B455" t="s">
        <v>685</v>
      </c>
      <c r="C455">
        <v>26.3</v>
      </c>
      <c r="D455">
        <v>55572208.8125</v>
      </c>
      <c r="E455">
        <v>60136344.0625</v>
      </c>
      <c r="F455">
        <v>65145234.75</v>
      </c>
      <c r="G455">
        <v>24</v>
      </c>
      <c r="H455">
        <v>22</v>
      </c>
      <c r="I455">
        <v>23</v>
      </c>
      <c r="J455">
        <v>25.79387186629527</v>
      </c>
      <c r="K455">
        <v>21.85981246698362</v>
      </c>
      <c r="L455">
        <v>21.634161587748078</v>
      </c>
      <c r="M455">
        <f t="shared" si="7"/>
        <v>23.095948640342325</v>
      </c>
    </row>
    <row r="456" spans="1:13" x14ac:dyDescent="0.3">
      <c r="A456" t="s">
        <v>463</v>
      </c>
      <c r="B456" t="s">
        <v>1005</v>
      </c>
      <c r="C456">
        <v>27.8</v>
      </c>
      <c r="D456">
        <v>7004876.6875</v>
      </c>
      <c r="E456">
        <v>8306600.6875</v>
      </c>
      <c r="F456">
        <v>9747684.3125</v>
      </c>
      <c r="G456">
        <v>7</v>
      </c>
      <c r="H456">
        <v>7</v>
      </c>
      <c r="I456">
        <v>9</v>
      </c>
      <c r="J456">
        <v>7.5232126276694524</v>
      </c>
      <c r="K456">
        <v>6.9553948758584259</v>
      </c>
      <c r="L456">
        <v>8.4655414908579463</v>
      </c>
      <c r="M456">
        <f t="shared" si="7"/>
        <v>7.648049664795276</v>
      </c>
    </row>
    <row r="457" spans="1:13" x14ac:dyDescent="0.3">
      <c r="A457" t="s">
        <v>464</v>
      </c>
      <c r="B457" t="s">
        <v>1006</v>
      </c>
      <c r="C457">
        <v>39.700000000000003</v>
      </c>
      <c r="D457">
        <v>6820937</v>
      </c>
      <c r="E457">
        <v>8974901.75</v>
      </c>
      <c r="F457">
        <v>4319808.625</v>
      </c>
      <c r="G457">
        <v>6</v>
      </c>
      <c r="H457">
        <v>5</v>
      </c>
      <c r="I457">
        <v>3</v>
      </c>
      <c r="J457">
        <v>6.4484679665738156</v>
      </c>
      <c r="K457">
        <v>4.968139197041733</v>
      </c>
      <c r="L457">
        <v>2.821847163619315</v>
      </c>
      <c r="M457">
        <f t="shared" si="7"/>
        <v>4.7461514424116213</v>
      </c>
    </row>
    <row r="458" spans="1:13" x14ac:dyDescent="0.3">
      <c r="A458" t="s">
        <v>465</v>
      </c>
      <c r="B458" t="s">
        <v>1007</v>
      </c>
      <c r="C458">
        <v>65.8</v>
      </c>
      <c r="D458">
        <v>4813505.46875</v>
      </c>
      <c r="E458">
        <v>4304592.625</v>
      </c>
      <c r="F458">
        <v>8503408.4375</v>
      </c>
      <c r="G458">
        <v>10</v>
      </c>
      <c r="H458">
        <v>13</v>
      </c>
      <c r="I458">
        <v>14</v>
      </c>
      <c r="J458">
        <v>10.747446610956359</v>
      </c>
      <c r="K458">
        <v>12.917161912308501</v>
      </c>
      <c r="L458">
        <v>13.168620096890139</v>
      </c>
      <c r="M458">
        <f t="shared" si="7"/>
        <v>12.277742873385</v>
      </c>
    </row>
    <row r="459" spans="1:13" x14ac:dyDescent="0.3">
      <c r="A459" t="s">
        <v>466</v>
      </c>
      <c r="B459" t="s">
        <v>1008</v>
      </c>
      <c r="C459">
        <v>40.5</v>
      </c>
      <c r="D459">
        <v>4591243.375</v>
      </c>
      <c r="E459">
        <v>3611955.625</v>
      </c>
      <c r="F459">
        <v>4251024.34375</v>
      </c>
      <c r="G459">
        <v>7</v>
      </c>
      <c r="H459">
        <v>6</v>
      </c>
      <c r="I459">
        <v>5</v>
      </c>
      <c r="J459">
        <v>7.5232126276694524</v>
      </c>
      <c r="K459">
        <v>5.9617670364500794</v>
      </c>
      <c r="L459">
        <v>4.7030786060321921</v>
      </c>
      <c r="M459">
        <f t="shared" si="7"/>
        <v>6.0626860900505752</v>
      </c>
    </row>
    <row r="460" spans="1:13" x14ac:dyDescent="0.3">
      <c r="A460" t="s">
        <v>467</v>
      </c>
      <c r="B460" t="s">
        <v>685</v>
      </c>
      <c r="C460">
        <v>28.6</v>
      </c>
      <c r="D460">
        <v>3153691.125</v>
      </c>
      <c r="E460">
        <v>4256375.5</v>
      </c>
      <c r="F460">
        <v>4924972.0625</v>
      </c>
      <c r="G460">
        <v>3</v>
      </c>
      <c r="H460">
        <v>6</v>
      </c>
      <c r="I460">
        <v>6</v>
      </c>
      <c r="J460">
        <v>3.2242339832869078</v>
      </c>
      <c r="K460">
        <v>5.9617670364500794</v>
      </c>
      <c r="L460">
        <v>5.6436943272386308</v>
      </c>
      <c r="M460">
        <f t="shared" si="7"/>
        <v>4.9432317823252063</v>
      </c>
    </row>
    <row r="461" spans="1:13" x14ac:dyDescent="0.3">
      <c r="A461" t="s">
        <v>468</v>
      </c>
      <c r="B461" t="s">
        <v>1009</v>
      </c>
      <c r="C461">
        <v>16</v>
      </c>
      <c r="D461">
        <v>9922186</v>
      </c>
      <c r="E461">
        <v>15934852.5</v>
      </c>
      <c r="F461">
        <v>15673340.25</v>
      </c>
      <c r="G461">
        <v>9</v>
      </c>
      <c r="H461">
        <v>12</v>
      </c>
      <c r="I461">
        <v>12</v>
      </c>
      <c r="J461">
        <v>9.6727019498607234</v>
      </c>
      <c r="K461">
        <v>11.923534072900161</v>
      </c>
      <c r="L461">
        <v>11.28738865447726</v>
      </c>
      <c r="M461">
        <f t="shared" si="7"/>
        <v>10.961208225746049</v>
      </c>
    </row>
    <row r="462" spans="1:13" x14ac:dyDescent="0.3">
      <c r="A462" t="s">
        <v>469</v>
      </c>
      <c r="B462" t="s">
        <v>1010</v>
      </c>
      <c r="C462">
        <v>15.3</v>
      </c>
      <c r="D462">
        <v>4603548.5</v>
      </c>
      <c r="E462">
        <v>8073531.75</v>
      </c>
      <c r="F462">
        <v>9269712.5625</v>
      </c>
      <c r="G462">
        <v>4</v>
      </c>
      <c r="H462">
        <v>5</v>
      </c>
      <c r="I462">
        <v>5</v>
      </c>
      <c r="J462">
        <v>4.2989786443825437</v>
      </c>
      <c r="K462">
        <v>4.968139197041733</v>
      </c>
      <c r="L462">
        <v>4.7030786060321921</v>
      </c>
      <c r="M462">
        <f t="shared" si="7"/>
        <v>4.6567321491521563</v>
      </c>
    </row>
    <row r="463" spans="1:13" x14ac:dyDescent="0.3">
      <c r="A463" t="s">
        <v>470</v>
      </c>
      <c r="B463" t="s">
        <v>1011</v>
      </c>
      <c r="C463">
        <v>49.3</v>
      </c>
      <c r="D463">
        <v>76204831.4375</v>
      </c>
      <c r="E463">
        <v>80995433.4375</v>
      </c>
      <c r="F463">
        <v>100564868.625</v>
      </c>
      <c r="G463">
        <v>44</v>
      </c>
      <c r="H463">
        <v>52</v>
      </c>
      <c r="I463">
        <v>53</v>
      </c>
      <c r="J463">
        <v>47.288765088207981</v>
      </c>
      <c r="K463">
        <v>51.668647649234018</v>
      </c>
      <c r="L463">
        <v>49.85263322394124</v>
      </c>
      <c r="M463">
        <f t="shared" si="7"/>
        <v>49.60334865379442</v>
      </c>
    </row>
    <row r="464" spans="1:13" x14ac:dyDescent="0.3">
      <c r="A464" t="s">
        <v>471</v>
      </c>
      <c r="B464" t="s">
        <v>1012</v>
      </c>
      <c r="C464">
        <v>44.6</v>
      </c>
      <c r="D464">
        <v>7153131.25</v>
      </c>
      <c r="E464">
        <v>8830556.234375</v>
      </c>
      <c r="F464">
        <v>10617739.09375</v>
      </c>
      <c r="G464">
        <v>8</v>
      </c>
      <c r="H464">
        <v>11</v>
      </c>
      <c r="I464">
        <v>13</v>
      </c>
      <c r="J464">
        <v>8.5979572887650875</v>
      </c>
      <c r="K464">
        <v>10.92990623349181</v>
      </c>
      <c r="L464">
        <v>12.2280043756837</v>
      </c>
      <c r="M464">
        <f t="shared" si="7"/>
        <v>10.585289299313532</v>
      </c>
    </row>
    <row r="465" spans="1:13" x14ac:dyDescent="0.3">
      <c r="A465" t="s">
        <v>472</v>
      </c>
      <c r="B465" t="s">
        <v>1013</v>
      </c>
      <c r="C465">
        <v>25.8</v>
      </c>
      <c r="D465">
        <v>466154.25</v>
      </c>
      <c r="E465">
        <v>513615.1796875</v>
      </c>
      <c r="F465">
        <v>403883.5625</v>
      </c>
      <c r="G465">
        <v>4</v>
      </c>
      <c r="H465">
        <v>2</v>
      </c>
      <c r="I465">
        <v>2</v>
      </c>
      <c r="J465">
        <v>4.2989786443825437</v>
      </c>
      <c r="K465">
        <v>1.9872556788166931</v>
      </c>
      <c r="L465">
        <v>1.8812314424128771</v>
      </c>
      <c r="M465">
        <f t="shared" si="7"/>
        <v>2.7224885885373715</v>
      </c>
    </row>
    <row r="466" spans="1:13" x14ac:dyDescent="0.3">
      <c r="A466" t="s">
        <v>473</v>
      </c>
      <c r="B466" t="s">
        <v>685</v>
      </c>
      <c r="C466">
        <v>28</v>
      </c>
      <c r="D466">
        <v>5518299.375</v>
      </c>
      <c r="E466">
        <v>9403717.625</v>
      </c>
      <c r="F466">
        <v>10420978.5</v>
      </c>
      <c r="G466">
        <v>8</v>
      </c>
      <c r="H466">
        <v>8</v>
      </c>
      <c r="I466">
        <v>8</v>
      </c>
      <c r="J466">
        <v>8.5979572887650875</v>
      </c>
      <c r="K466">
        <v>7.9490227152667723</v>
      </c>
      <c r="L466">
        <v>7.5249257696515084</v>
      </c>
      <c r="M466">
        <f t="shared" si="7"/>
        <v>8.0239685912277903</v>
      </c>
    </row>
    <row r="467" spans="1:13" x14ac:dyDescent="0.3">
      <c r="A467" t="s">
        <v>474</v>
      </c>
      <c r="B467" t="s">
        <v>1014</v>
      </c>
      <c r="C467">
        <v>26.7</v>
      </c>
      <c r="D467">
        <v>13520829.375</v>
      </c>
      <c r="E467">
        <v>13921581.625</v>
      </c>
      <c r="F467">
        <v>18599336.8125</v>
      </c>
      <c r="G467">
        <v>24</v>
      </c>
      <c r="H467">
        <v>26</v>
      </c>
      <c r="I467">
        <v>27</v>
      </c>
      <c r="J467">
        <v>25.79387186629527</v>
      </c>
      <c r="K467">
        <v>25.834323824617009</v>
      </c>
      <c r="L467">
        <v>25.396624472573841</v>
      </c>
      <c r="M467">
        <f t="shared" si="7"/>
        <v>25.674940054495369</v>
      </c>
    </row>
    <row r="468" spans="1:13" x14ac:dyDescent="0.3">
      <c r="A468" t="s">
        <v>475</v>
      </c>
      <c r="B468" t="s">
        <v>1015</v>
      </c>
      <c r="C468">
        <v>24.6</v>
      </c>
      <c r="D468">
        <v>36292219.5</v>
      </c>
      <c r="E468">
        <v>38592861</v>
      </c>
      <c r="F468">
        <v>55044662.625</v>
      </c>
      <c r="G468">
        <v>19</v>
      </c>
      <c r="H468">
        <v>18</v>
      </c>
      <c r="I468">
        <v>18</v>
      </c>
      <c r="J468">
        <v>20.420148560817079</v>
      </c>
      <c r="K468">
        <v>17.885301109350241</v>
      </c>
      <c r="L468">
        <v>16.931082981715889</v>
      </c>
      <c r="M468">
        <f t="shared" si="7"/>
        <v>18.412177550627735</v>
      </c>
    </row>
    <row r="469" spans="1:13" x14ac:dyDescent="0.3">
      <c r="A469" t="s">
        <v>476</v>
      </c>
      <c r="B469" t="s">
        <v>685</v>
      </c>
      <c r="C469">
        <v>49.3</v>
      </c>
      <c r="D469">
        <v>2581109.53125</v>
      </c>
      <c r="E469">
        <v>3652135.03125</v>
      </c>
      <c r="F469">
        <v>5691526.875</v>
      </c>
      <c r="G469">
        <v>4</v>
      </c>
      <c r="H469">
        <v>5</v>
      </c>
      <c r="I469">
        <v>5</v>
      </c>
      <c r="J469">
        <v>4.2989786443825437</v>
      </c>
      <c r="K469">
        <v>4.968139197041733</v>
      </c>
      <c r="L469">
        <v>4.7030786060321921</v>
      </c>
      <c r="M469">
        <f t="shared" si="7"/>
        <v>4.6567321491521563</v>
      </c>
    </row>
    <row r="470" spans="1:13" x14ac:dyDescent="0.3">
      <c r="A470" t="s">
        <v>477</v>
      </c>
      <c r="B470" t="s">
        <v>685</v>
      </c>
      <c r="C470">
        <v>19.899999999999999</v>
      </c>
      <c r="D470">
        <v>3891670.75</v>
      </c>
      <c r="E470">
        <v>4731931</v>
      </c>
      <c r="F470">
        <v>6555234</v>
      </c>
      <c r="G470">
        <v>5</v>
      </c>
      <c r="H470">
        <v>6</v>
      </c>
      <c r="I470">
        <v>6</v>
      </c>
      <c r="J470">
        <v>5.3737233054781806</v>
      </c>
      <c r="K470">
        <v>5.9617670364500794</v>
      </c>
      <c r="L470">
        <v>5.6436943272386308</v>
      </c>
      <c r="M470">
        <f t="shared" si="7"/>
        <v>5.6597282230556303</v>
      </c>
    </row>
    <row r="471" spans="1:13" x14ac:dyDescent="0.3">
      <c r="A471" t="s">
        <v>478</v>
      </c>
      <c r="B471" t="s">
        <v>1016</v>
      </c>
      <c r="C471">
        <v>41.9</v>
      </c>
      <c r="D471">
        <v>835174.75</v>
      </c>
      <c r="E471">
        <v>0</v>
      </c>
      <c r="F471">
        <v>0</v>
      </c>
      <c r="G471">
        <v>6</v>
      </c>
      <c r="J471">
        <v>6.4484679665738156</v>
      </c>
      <c r="K471" t="s">
        <v>1184</v>
      </c>
      <c r="L471" t="s">
        <v>1184</v>
      </c>
      <c r="M471">
        <f t="shared" si="7"/>
        <v>6.4484679665738156</v>
      </c>
    </row>
    <row r="472" spans="1:13" x14ac:dyDescent="0.3">
      <c r="A472" t="s">
        <v>479</v>
      </c>
      <c r="B472" t="s">
        <v>1017</v>
      </c>
      <c r="C472">
        <v>16.399999999999999</v>
      </c>
      <c r="D472">
        <v>30037022.375</v>
      </c>
      <c r="E472">
        <v>26703646.125</v>
      </c>
      <c r="F472">
        <v>27627133.375</v>
      </c>
      <c r="G472">
        <v>12</v>
      </c>
      <c r="H472">
        <v>12</v>
      </c>
      <c r="I472">
        <v>11</v>
      </c>
      <c r="J472">
        <v>12.896935933147629</v>
      </c>
      <c r="K472">
        <v>11.923534072900161</v>
      </c>
      <c r="L472">
        <v>10.34677293327082</v>
      </c>
      <c r="M472">
        <f t="shared" si="7"/>
        <v>11.722414313106205</v>
      </c>
    </row>
    <row r="473" spans="1:13" x14ac:dyDescent="0.3">
      <c r="A473" t="s">
        <v>480</v>
      </c>
      <c r="B473" t="s">
        <v>1018</v>
      </c>
      <c r="C473">
        <v>6.4</v>
      </c>
      <c r="D473">
        <v>884605.5</v>
      </c>
      <c r="E473">
        <v>707733.25</v>
      </c>
      <c r="F473">
        <v>747106.5</v>
      </c>
      <c r="G473">
        <v>3</v>
      </c>
      <c r="H473">
        <v>4</v>
      </c>
      <c r="I473">
        <v>3</v>
      </c>
      <c r="J473">
        <v>3.2242339832869078</v>
      </c>
      <c r="K473">
        <v>3.9745113576333861</v>
      </c>
      <c r="L473">
        <v>2.821847163619315</v>
      </c>
      <c r="M473">
        <f t="shared" si="7"/>
        <v>3.3401975015132028</v>
      </c>
    </row>
    <row r="474" spans="1:13" x14ac:dyDescent="0.3">
      <c r="A474" t="s">
        <v>481</v>
      </c>
      <c r="B474" t="s">
        <v>1019</v>
      </c>
      <c r="C474">
        <v>25.5</v>
      </c>
      <c r="D474">
        <v>22906254.375</v>
      </c>
      <c r="E474">
        <v>27748681.125</v>
      </c>
      <c r="F474">
        <v>30612137.25</v>
      </c>
      <c r="G474">
        <v>10</v>
      </c>
      <c r="H474">
        <v>14</v>
      </c>
      <c r="I474">
        <v>14</v>
      </c>
      <c r="J474">
        <v>10.747446610956359</v>
      </c>
      <c r="K474">
        <v>13.91078975171685</v>
      </c>
      <c r="L474">
        <v>13.168620096890139</v>
      </c>
      <c r="M474">
        <f t="shared" si="7"/>
        <v>12.608952153187781</v>
      </c>
    </row>
    <row r="475" spans="1:13" x14ac:dyDescent="0.3">
      <c r="A475" t="s">
        <v>482</v>
      </c>
      <c r="B475" t="s">
        <v>1020</v>
      </c>
      <c r="C475">
        <v>22.7</v>
      </c>
      <c r="D475">
        <v>1021241</v>
      </c>
      <c r="E475">
        <v>2410417.75</v>
      </c>
      <c r="F475">
        <v>1638656.125</v>
      </c>
      <c r="G475">
        <v>4</v>
      </c>
      <c r="H475">
        <v>6</v>
      </c>
      <c r="I475">
        <v>6</v>
      </c>
      <c r="J475">
        <v>4.2989786443825437</v>
      </c>
      <c r="K475">
        <v>5.9617670364500794</v>
      </c>
      <c r="L475">
        <v>5.6436943272386308</v>
      </c>
      <c r="M475">
        <f t="shared" si="7"/>
        <v>5.3014800026904183</v>
      </c>
    </row>
    <row r="476" spans="1:13" x14ac:dyDescent="0.3">
      <c r="A476" t="s">
        <v>483</v>
      </c>
      <c r="B476" t="s">
        <v>685</v>
      </c>
      <c r="C476">
        <v>20.7</v>
      </c>
      <c r="D476">
        <v>656185.0625</v>
      </c>
      <c r="E476">
        <v>780543.5625</v>
      </c>
      <c r="F476">
        <v>6642398</v>
      </c>
      <c r="G476">
        <v>5</v>
      </c>
      <c r="H476">
        <v>7</v>
      </c>
      <c r="I476">
        <v>6</v>
      </c>
      <c r="J476">
        <v>5.3737233054781806</v>
      </c>
      <c r="K476">
        <v>6.9553948758584259</v>
      </c>
      <c r="L476">
        <v>5.6436943272386308</v>
      </c>
      <c r="M476">
        <f t="shared" si="7"/>
        <v>5.9909375028584124</v>
      </c>
    </row>
    <row r="477" spans="1:13" x14ac:dyDescent="0.3">
      <c r="A477" t="s">
        <v>484</v>
      </c>
      <c r="B477" t="s">
        <v>685</v>
      </c>
      <c r="C477">
        <v>57.5</v>
      </c>
      <c r="D477">
        <v>15890440.625</v>
      </c>
      <c r="E477">
        <v>25335276.9375</v>
      </c>
      <c r="F477">
        <v>24574828.4375</v>
      </c>
      <c r="G477">
        <v>8</v>
      </c>
      <c r="H477">
        <v>10</v>
      </c>
      <c r="I477">
        <v>9</v>
      </c>
      <c r="J477">
        <v>8.5979572887650875</v>
      </c>
      <c r="K477">
        <v>9.936278394083466</v>
      </c>
      <c r="L477">
        <v>8.4655414908579463</v>
      </c>
      <c r="M477">
        <f t="shared" si="7"/>
        <v>8.9999257245688327</v>
      </c>
    </row>
    <row r="478" spans="1:13" x14ac:dyDescent="0.3">
      <c r="A478" t="s">
        <v>485</v>
      </c>
      <c r="B478" t="s">
        <v>1021</v>
      </c>
      <c r="C478">
        <v>17.2</v>
      </c>
      <c r="D478">
        <v>13384808.75</v>
      </c>
      <c r="E478">
        <v>12315099.5</v>
      </c>
      <c r="F478">
        <v>13469812.875</v>
      </c>
      <c r="G478">
        <v>16</v>
      </c>
      <c r="H478">
        <v>15</v>
      </c>
      <c r="I478">
        <v>16</v>
      </c>
      <c r="J478">
        <v>17.195914577530171</v>
      </c>
      <c r="K478">
        <v>14.904417591125201</v>
      </c>
      <c r="L478">
        <v>15.04985153930302</v>
      </c>
      <c r="M478">
        <f t="shared" si="7"/>
        <v>15.716727902652798</v>
      </c>
    </row>
    <row r="479" spans="1:13" x14ac:dyDescent="0.3">
      <c r="A479" t="s">
        <v>486</v>
      </c>
      <c r="B479" t="s">
        <v>1022</v>
      </c>
      <c r="C479">
        <v>55</v>
      </c>
      <c r="D479">
        <v>6071023.40625</v>
      </c>
      <c r="E479">
        <v>11636436.25</v>
      </c>
      <c r="F479">
        <v>9348559.9375</v>
      </c>
      <c r="G479">
        <v>19</v>
      </c>
      <c r="H479">
        <v>19</v>
      </c>
      <c r="I479">
        <v>25</v>
      </c>
      <c r="J479">
        <v>20.420148560817079</v>
      </c>
      <c r="K479">
        <v>18.878928948758581</v>
      </c>
      <c r="L479">
        <v>23.515393030160961</v>
      </c>
      <c r="M479">
        <f t="shared" si="7"/>
        <v>20.938156846578874</v>
      </c>
    </row>
    <row r="480" spans="1:13" x14ac:dyDescent="0.3">
      <c r="A480" t="s">
        <v>487</v>
      </c>
      <c r="B480" t="s">
        <v>1023</v>
      </c>
      <c r="C480">
        <v>14.8</v>
      </c>
      <c r="D480">
        <v>9011321.125</v>
      </c>
      <c r="E480">
        <v>11270393.75</v>
      </c>
      <c r="F480">
        <v>22608597.875</v>
      </c>
      <c r="G480">
        <v>9</v>
      </c>
      <c r="H480">
        <v>8</v>
      </c>
      <c r="I480">
        <v>8</v>
      </c>
      <c r="J480">
        <v>9.6727019498607234</v>
      </c>
      <c r="K480">
        <v>7.9490227152667723</v>
      </c>
      <c r="L480">
        <v>7.5249257696515084</v>
      </c>
      <c r="M480">
        <f t="shared" si="7"/>
        <v>8.3822168115930022</v>
      </c>
    </row>
    <row r="481" spans="1:13" x14ac:dyDescent="0.3">
      <c r="A481" t="s">
        <v>488</v>
      </c>
      <c r="B481" t="s">
        <v>1024</v>
      </c>
      <c r="C481">
        <v>54.5</v>
      </c>
      <c r="D481">
        <v>72495817.0625</v>
      </c>
      <c r="E481">
        <v>77541250.828125</v>
      </c>
      <c r="F481">
        <v>94401537.859375</v>
      </c>
      <c r="G481">
        <v>42</v>
      </c>
      <c r="H481">
        <v>48</v>
      </c>
      <c r="I481">
        <v>45</v>
      </c>
      <c r="J481">
        <v>45.139275766016709</v>
      </c>
      <c r="K481">
        <v>47.694136291600643</v>
      </c>
      <c r="L481">
        <v>42.32770745428973</v>
      </c>
      <c r="M481">
        <f t="shared" si="7"/>
        <v>45.053706503969032</v>
      </c>
    </row>
    <row r="482" spans="1:13" x14ac:dyDescent="0.3">
      <c r="A482" t="s">
        <v>489</v>
      </c>
      <c r="B482" t="s">
        <v>1025</v>
      </c>
      <c r="C482">
        <v>25.3</v>
      </c>
      <c r="D482">
        <v>16560295.5</v>
      </c>
      <c r="E482">
        <v>27369350</v>
      </c>
      <c r="F482">
        <v>16616160.375</v>
      </c>
      <c r="G482">
        <v>8</v>
      </c>
      <c r="H482">
        <v>15</v>
      </c>
      <c r="I482">
        <v>8</v>
      </c>
      <c r="J482">
        <v>8.5979572887650875</v>
      </c>
      <c r="K482">
        <v>14.904417591125201</v>
      </c>
      <c r="L482">
        <v>7.5249257696515084</v>
      </c>
      <c r="M482">
        <f t="shared" si="7"/>
        <v>10.342433549847266</v>
      </c>
    </row>
    <row r="483" spans="1:13" x14ac:dyDescent="0.3">
      <c r="A483" t="s">
        <v>490</v>
      </c>
      <c r="B483" t="s">
        <v>685</v>
      </c>
      <c r="C483">
        <v>36.1</v>
      </c>
      <c r="D483">
        <v>8053307.25</v>
      </c>
      <c r="E483">
        <v>10583524</v>
      </c>
      <c r="F483">
        <v>14613939.1875</v>
      </c>
      <c r="G483">
        <v>10</v>
      </c>
      <c r="H483">
        <v>13</v>
      </c>
      <c r="I483">
        <v>13</v>
      </c>
      <c r="J483">
        <v>10.747446610956359</v>
      </c>
      <c r="K483">
        <v>12.917161912308501</v>
      </c>
      <c r="L483">
        <v>12.2280043756837</v>
      </c>
      <c r="M483">
        <f t="shared" si="7"/>
        <v>11.964204299649518</v>
      </c>
    </row>
    <row r="484" spans="1:13" x14ac:dyDescent="0.3">
      <c r="A484" t="s">
        <v>491</v>
      </c>
      <c r="B484" t="s">
        <v>1026</v>
      </c>
      <c r="C484">
        <v>46.8</v>
      </c>
      <c r="D484">
        <v>3371661.625</v>
      </c>
      <c r="E484">
        <v>15585676.78125</v>
      </c>
      <c r="F484">
        <v>13917829.375</v>
      </c>
      <c r="G484">
        <v>17</v>
      </c>
      <c r="H484">
        <v>17</v>
      </c>
      <c r="I484">
        <v>14</v>
      </c>
      <c r="J484">
        <v>18.270659238625811</v>
      </c>
      <c r="K484">
        <v>16.89167326994189</v>
      </c>
      <c r="L484">
        <v>13.168620096890139</v>
      </c>
      <c r="M484">
        <f t="shared" si="7"/>
        <v>16.110317535152614</v>
      </c>
    </row>
    <row r="485" spans="1:13" x14ac:dyDescent="0.3">
      <c r="A485" t="s">
        <v>492</v>
      </c>
      <c r="B485" t="s">
        <v>1027</v>
      </c>
      <c r="C485">
        <v>31</v>
      </c>
      <c r="D485">
        <v>141806466.3125</v>
      </c>
      <c r="E485">
        <v>154083658.875</v>
      </c>
      <c r="F485">
        <v>152666434.0625</v>
      </c>
      <c r="G485">
        <v>20</v>
      </c>
      <c r="H485">
        <v>21</v>
      </c>
      <c r="I485">
        <v>27</v>
      </c>
      <c r="J485">
        <v>21.494893221912719</v>
      </c>
      <c r="K485">
        <v>20.866184627575279</v>
      </c>
      <c r="L485">
        <v>25.396624472573841</v>
      </c>
      <c r="M485">
        <f t="shared" si="7"/>
        <v>22.585900774020615</v>
      </c>
    </row>
    <row r="486" spans="1:13" x14ac:dyDescent="0.3">
      <c r="A486" t="s">
        <v>493</v>
      </c>
      <c r="B486" t="s">
        <v>1028</v>
      </c>
      <c r="C486">
        <v>16.5</v>
      </c>
      <c r="D486">
        <v>15421906.5</v>
      </c>
      <c r="E486">
        <v>22294000.25</v>
      </c>
      <c r="F486">
        <v>29925951.25</v>
      </c>
      <c r="G486">
        <v>13</v>
      </c>
      <c r="H486">
        <v>15</v>
      </c>
      <c r="I486">
        <v>18</v>
      </c>
      <c r="J486">
        <v>13.971680594243271</v>
      </c>
      <c r="K486">
        <v>14.904417591125201</v>
      </c>
      <c r="L486">
        <v>16.931082981715889</v>
      </c>
      <c r="M486">
        <f t="shared" si="7"/>
        <v>15.26906038902812</v>
      </c>
    </row>
    <row r="487" spans="1:13" x14ac:dyDescent="0.3">
      <c r="A487" t="s">
        <v>494</v>
      </c>
      <c r="B487" t="s">
        <v>1029</v>
      </c>
      <c r="C487">
        <v>53.8</v>
      </c>
      <c r="D487">
        <v>306468.625</v>
      </c>
      <c r="E487">
        <v>0</v>
      </c>
      <c r="F487">
        <v>0</v>
      </c>
      <c r="G487">
        <v>2</v>
      </c>
      <c r="J487">
        <v>2.1494893221912719</v>
      </c>
      <c r="K487" t="s">
        <v>1184</v>
      </c>
      <c r="L487" t="s">
        <v>1184</v>
      </c>
      <c r="M487">
        <f t="shared" si="7"/>
        <v>2.1494893221912719</v>
      </c>
    </row>
    <row r="488" spans="1:13" x14ac:dyDescent="0.3">
      <c r="A488" t="s">
        <v>495</v>
      </c>
      <c r="B488" t="s">
        <v>1030</v>
      </c>
      <c r="C488">
        <v>46</v>
      </c>
      <c r="D488">
        <v>72241470.53125</v>
      </c>
      <c r="E488">
        <v>81539542.71875</v>
      </c>
      <c r="F488">
        <v>96364221.625</v>
      </c>
      <c r="G488">
        <v>36</v>
      </c>
      <c r="H488">
        <v>35</v>
      </c>
      <c r="I488">
        <v>32</v>
      </c>
      <c r="J488">
        <v>38.690807799442887</v>
      </c>
      <c r="K488">
        <v>34.776974379292128</v>
      </c>
      <c r="L488">
        <v>30.09970307860603</v>
      </c>
      <c r="M488">
        <f t="shared" si="7"/>
        <v>34.522495085780342</v>
      </c>
    </row>
    <row r="489" spans="1:13" x14ac:dyDescent="0.3">
      <c r="A489" t="s">
        <v>496</v>
      </c>
      <c r="B489" t="s">
        <v>1031</v>
      </c>
      <c r="C489">
        <v>26.5</v>
      </c>
      <c r="D489">
        <v>162507104.34375</v>
      </c>
      <c r="E489">
        <v>181871528.71875</v>
      </c>
      <c r="F489">
        <v>0</v>
      </c>
      <c r="G489">
        <v>33</v>
      </c>
      <c r="H489">
        <v>36</v>
      </c>
      <c r="J489">
        <v>35.466573816155993</v>
      </c>
      <c r="K489">
        <v>35.770602218700468</v>
      </c>
      <c r="L489" t="s">
        <v>1184</v>
      </c>
      <c r="M489">
        <f t="shared" si="7"/>
        <v>35.61858801742823</v>
      </c>
    </row>
    <row r="490" spans="1:13" x14ac:dyDescent="0.3">
      <c r="A490" t="s">
        <v>497</v>
      </c>
      <c r="B490" t="s">
        <v>1032</v>
      </c>
      <c r="C490">
        <v>18</v>
      </c>
      <c r="D490">
        <v>6504915.4375</v>
      </c>
      <c r="E490">
        <v>5817617.125</v>
      </c>
      <c r="F490">
        <v>0</v>
      </c>
      <c r="G490">
        <v>8</v>
      </c>
      <c r="H490">
        <v>9</v>
      </c>
      <c r="J490">
        <v>8.5979572887650875</v>
      </c>
      <c r="K490">
        <v>8.9426505546751187</v>
      </c>
      <c r="L490" t="s">
        <v>1184</v>
      </c>
      <c r="M490">
        <f t="shared" si="7"/>
        <v>8.7703039217201031</v>
      </c>
    </row>
    <row r="491" spans="1:13" x14ac:dyDescent="0.3">
      <c r="A491" t="s">
        <v>498</v>
      </c>
      <c r="B491" t="s">
        <v>1033</v>
      </c>
      <c r="C491">
        <v>26.2</v>
      </c>
      <c r="D491">
        <v>1307974.125</v>
      </c>
      <c r="E491">
        <v>2692081.875</v>
      </c>
      <c r="F491">
        <v>3401699.375</v>
      </c>
      <c r="G491">
        <v>16</v>
      </c>
      <c r="H491">
        <v>16</v>
      </c>
      <c r="I491">
        <v>17</v>
      </c>
      <c r="J491">
        <v>17.195914577530171</v>
      </c>
      <c r="K491">
        <v>15.898045430533539</v>
      </c>
      <c r="L491">
        <v>15.990467260509449</v>
      </c>
      <c r="M491">
        <f t="shared" si="7"/>
        <v>16.361475756191052</v>
      </c>
    </row>
    <row r="492" spans="1:13" x14ac:dyDescent="0.3">
      <c r="A492" t="s">
        <v>499</v>
      </c>
      <c r="B492" t="s">
        <v>1034</v>
      </c>
      <c r="C492">
        <v>34.6</v>
      </c>
      <c r="D492">
        <v>113322394.5625</v>
      </c>
      <c r="E492">
        <v>151320684.625</v>
      </c>
      <c r="F492">
        <v>162810730.375</v>
      </c>
      <c r="G492">
        <v>32</v>
      </c>
      <c r="H492">
        <v>28</v>
      </c>
      <c r="I492">
        <v>34</v>
      </c>
      <c r="J492">
        <v>34.39182915506035</v>
      </c>
      <c r="K492">
        <v>27.8215795034337</v>
      </c>
      <c r="L492">
        <v>31.980934521018909</v>
      </c>
      <c r="M492">
        <f t="shared" si="7"/>
        <v>31.398114393170985</v>
      </c>
    </row>
    <row r="493" spans="1:13" x14ac:dyDescent="0.3">
      <c r="A493" t="s">
        <v>500</v>
      </c>
      <c r="B493" t="s">
        <v>1035</v>
      </c>
      <c r="C493">
        <v>29</v>
      </c>
      <c r="D493">
        <v>3498605.25</v>
      </c>
      <c r="E493">
        <v>6559355.625</v>
      </c>
      <c r="F493">
        <v>6884620.1875</v>
      </c>
      <c r="G493">
        <v>28</v>
      </c>
      <c r="H493">
        <v>27</v>
      </c>
      <c r="I493">
        <v>27</v>
      </c>
      <c r="J493">
        <v>30.09285051067781</v>
      </c>
      <c r="K493">
        <v>26.827951664025349</v>
      </c>
      <c r="L493">
        <v>25.396624472573841</v>
      </c>
      <c r="M493">
        <f t="shared" si="7"/>
        <v>27.439142215758995</v>
      </c>
    </row>
    <row r="494" spans="1:13" x14ac:dyDescent="0.3">
      <c r="A494" t="s">
        <v>501</v>
      </c>
      <c r="B494" t="s">
        <v>1036</v>
      </c>
      <c r="C494">
        <v>29.8</v>
      </c>
      <c r="D494">
        <v>5704605.375</v>
      </c>
      <c r="E494">
        <v>6167995.125</v>
      </c>
      <c r="F494">
        <v>6249093.25</v>
      </c>
      <c r="G494">
        <v>14</v>
      </c>
      <c r="H494">
        <v>11</v>
      </c>
      <c r="I494">
        <v>12</v>
      </c>
      <c r="J494">
        <v>15.0464252553389</v>
      </c>
      <c r="K494">
        <v>10.92990623349181</v>
      </c>
      <c r="L494">
        <v>11.28738865447726</v>
      </c>
      <c r="M494">
        <f t="shared" si="7"/>
        <v>12.421240047769324</v>
      </c>
    </row>
    <row r="495" spans="1:13" x14ac:dyDescent="0.3">
      <c r="A495" t="s">
        <v>502</v>
      </c>
      <c r="B495" t="s">
        <v>685</v>
      </c>
      <c r="C495">
        <v>17.7</v>
      </c>
      <c r="D495">
        <v>6794057.3125</v>
      </c>
      <c r="E495">
        <v>9269226.15625</v>
      </c>
      <c r="F495">
        <v>9501359.3125</v>
      </c>
      <c r="G495">
        <v>10</v>
      </c>
      <c r="H495">
        <v>12</v>
      </c>
      <c r="I495">
        <v>9</v>
      </c>
      <c r="J495">
        <v>10.747446610956359</v>
      </c>
      <c r="K495">
        <v>11.923534072900161</v>
      </c>
      <c r="L495">
        <v>8.4655414908579463</v>
      </c>
      <c r="M495">
        <f t="shared" si="7"/>
        <v>10.378840724904821</v>
      </c>
    </row>
    <row r="496" spans="1:13" x14ac:dyDescent="0.3">
      <c r="A496" t="s">
        <v>503</v>
      </c>
      <c r="B496" t="s">
        <v>1037</v>
      </c>
      <c r="C496">
        <v>25.9</v>
      </c>
      <c r="D496">
        <v>4836555.4375</v>
      </c>
      <c r="E496">
        <v>4653206.375</v>
      </c>
      <c r="F496">
        <v>5127538.375</v>
      </c>
      <c r="G496">
        <v>26</v>
      </c>
      <c r="H496">
        <v>24</v>
      </c>
      <c r="I496">
        <v>27</v>
      </c>
      <c r="J496">
        <v>27.943361188486531</v>
      </c>
      <c r="K496">
        <v>23.847068145800321</v>
      </c>
      <c r="L496">
        <v>25.396624472573841</v>
      </c>
      <c r="M496">
        <f t="shared" si="7"/>
        <v>25.729017935620231</v>
      </c>
    </row>
    <row r="497" spans="1:13" x14ac:dyDescent="0.3">
      <c r="A497" t="s">
        <v>504</v>
      </c>
      <c r="B497" t="s">
        <v>1038</v>
      </c>
      <c r="C497">
        <v>31.8</v>
      </c>
      <c r="D497">
        <v>14025938.75</v>
      </c>
      <c r="E497">
        <v>16300756.125</v>
      </c>
      <c r="F497">
        <v>19911474.3125</v>
      </c>
      <c r="G497">
        <v>33</v>
      </c>
      <c r="H497">
        <v>34</v>
      </c>
      <c r="I497">
        <v>37</v>
      </c>
      <c r="J497">
        <v>35.466573816155993</v>
      </c>
      <c r="K497">
        <v>33.78334653988378</v>
      </c>
      <c r="L497">
        <v>34.802781684638227</v>
      </c>
      <c r="M497">
        <f t="shared" si="7"/>
        <v>34.68423401355934</v>
      </c>
    </row>
    <row r="498" spans="1:13" x14ac:dyDescent="0.3">
      <c r="A498" t="s">
        <v>505</v>
      </c>
      <c r="B498" t="s">
        <v>1039</v>
      </c>
      <c r="C498">
        <v>27.2</v>
      </c>
      <c r="D498">
        <v>4379402.75</v>
      </c>
      <c r="E498">
        <v>6498290.5</v>
      </c>
      <c r="F498">
        <v>12371302.6875</v>
      </c>
      <c r="G498">
        <v>5</v>
      </c>
      <c r="H498">
        <v>6</v>
      </c>
      <c r="I498">
        <v>11</v>
      </c>
      <c r="J498">
        <v>5.3737233054781806</v>
      </c>
      <c r="K498">
        <v>5.9617670364500794</v>
      </c>
      <c r="L498">
        <v>10.34677293327082</v>
      </c>
      <c r="M498">
        <f t="shared" si="7"/>
        <v>7.227421091733027</v>
      </c>
    </row>
    <row r="499" spans="1:13" x14ac:dyDescent="0.3">
      <c r="A499" t="s">
        <v>506</v>
      </c>
      <c r="B499" t="s">
        <v>1040</v>
      </c>
      <c r="C499">
        <v>22.9</v>
      </c>
      <c r="D499">
        <v>45000634.0234375</v>
      </c>
      <c r="E499">
        <v>55987831.75</v>
      </c>
      <c r="F499">
        <v>52625222.5</v>
      </c>
      <c r="G499">
        <v>15</v>
      </c>
      <c r="H499">
        <v>14</v>
      </c>
      <c r="I499">
        <v>14</v>
      </c>
      <c r="J499">
        <v>16.121169916434539</v>
      </c>
      <c r="K499">
        <v>13.91078975171685</v>
      </c>
      <c r="L499">
        <v>13.168620096890139</v>
      </c>
      <c r="M499">
        <f t="shared" si="7"/>
        <v>14.400193255013841</v>
      </c>
    </row>
    <row r="500" spans="1:13" x14ac:dyDescent="0.3">
      <c r="A500" t="s">
        <v>507</v>
      </c>
      <c r="B500" t="s">
        <v>1041</v>
      </c>
      <c r="C500">
        <v>12.6</v>
      </c>
      <c r="D500">
        <v>8137084.875</v>
      </c>
      <c r="E500">
        <v>9004824.0625</v>
      </c>
      <c r="F500">
        <v>12410982.75</v>
      </c>
      <c r="G500">
        <v>5</v>
      </c>
      <c r="H500">
        <v>6</v>
      </c>
      <c r="I500">
        <v>6</v>
      </c>
      <c r="J500">
        <v>5.3737233054781806</v>
      </c>
      <c r="K500">
        <v>5.9617670364500794</v>
      </c>
      <c r="L500">
        <v>5.6436943272386308</v>
      </c>
      <c r="M500">
        <f t="shared" si="7"/>
        <v>5.6597282230556303</v>
      </c>
    </row>
    <row r="501" spans="1:13" x14ac:dyDescent="0.3">
      <c r="A501" t="s">
        <v>508</v>
      </c>
      <c r="B501" t="s">
        <v>1042</v>
      </c>
      <c r="C501">
        <v>109.4</v>
      </c>
      <c r="D501">
        <v>3458391.9375</v>
      </c>
      <c r="E501">
        <v>4942756.015625</v>
      </c>
      <c r="F501">
        <v>4725414.625</v>
      </c>
      <c r="G501">
        <v>5</v>
      </c>
      <c r="H501">
        <v>6</v>
      </c>
      <c r="I501">
        <v>5</v>
      </c>
      <c r="J501">
        <v>5.3737233054781806</v>
      </c>
      <c r="K501">
        <v>5.9617670364500794</v>
      </c>
      <c r="L501">
        <v>4.7030786060321921</v>
      </c>
      <c r="M501">
        <f t="shared" si="7"/>
        <v>5.3461896493201513</v>
      </c>
    </row>
    <row r="502" spans="1:13" x14ac:dyDescent="0.3">
      <c r="A502" t="s">
        <v>509</v>
      </c>
      <c r="B502" t="s">
        <v>685</v>
      </c>
      <c r="C502">
        <v>33.4</v>
      </c>
      <c r="D502">
        <v>28549001.625</v>
      </c>
      <c r="E502">
        <v>33751995.625</v>
      </c>
      <c r="F502">
        <v>40043571.625</v>
      </c>
      <c r="G502">
        <v>20</v>
      </c>
      <c r="H502">
        <v>20</v>
      </c>
      <c r="I502">
        <v>18</v>
      </c>
      <c r="J502">
        <v>21.494893221912719</v>
      </c>
      <c r="K502">
        <v>19.872556788166928</v>
      </c>
      <c r="L502">
        <v>16.931082981715889</v>
      </c>
      <c r="M502">
        <f t="shared" si="7"/>
        <v>19.432844330598513</v>
      </c>
    </row>
    <row r="503" spans="1:13" x14ac:dyDescent="0.3">
      <c r="A503" t="s">
        <v>510</v>
      </c>
      <c r="B503" t="s">
        <v>1043</v>
      </c>
      <c r="C503">
        <v>50.4</v>
      </c>
      <c r="D503">
        <v>7439983.1875</v>
      </c>
      <c r="E503">
        <v>11291254.9375</v>
      </c>
      <c r="F503">
        <v>12626930.75</v>
      </c>
      <c r="G503">
        <v>12</v>
      </c>
      <c r="H503">
        <v>16</v>
      </c>
      <c r="I503">
        <v>15</v>
      </c>
      <c r="J503">
        <v>12.896935933147629</v>
      </c>
      <c r="K503">
        <v>15.898045430533539</v>
      </c>
      <c r="L503">
        <v>14.109235818096581</v>
      </c>
      <c r="M503">
        <f t="shared" si="7"/>
        <v>14.301405727259249</v>
      </c>
    </row>
    <row r="504" spans="1:13" x14ac:dyDescent="0.3">
      <c r="A504" t="s">
        <v>511</v>
      </c>
      <c r="B504" t="s">
        <v>1044</v>
      </c>
      <c r="C504">
        <v>70.900000000000006</v>
      </c>
      <c r="D504">
        <v>1360281.875</v>
      </c>
      <c r="E504">
        <v>1113203.875</v>
      </c>
      <c r="F504">
        <v>2104152.25</v>
      </c>
      <c r="G504">
        <v>42</v>
      </c>
      <c r="H504">
        <v>42</v>
      </c>
      <c r="I504">
        <v>43</v>
      </c>
      <c r="J504">
        <v>45.139275766016709</v>
      </c>
      <c r="K504">
        <v>41.732369255150552</v>
      </c>
      <c r="L504">
        <v>40.446476011876847</v>
      </c>
      <c r="M504">
        <f t="shared" si="7"/>
        <v>42.439373677681374</v>
      </c>
    </row>
    <row r="505" spans="1:13" x14ac:dyDescent="0.3">
      <c r="A505" t="s">
        <v>512</v>
      </c>
      <c r="B505" t="s">
        <v>1045</v>
      </c>
      <c r="C505">
        <v>26.4</v>
      </c>
      <c r="D505">
        <v>3681054.375</v>
      </c>
      <c r="E505">
        <v>7242986.421875</v>
      </c>
      <c r="F505">
        <v>10420579.96875</v>
      </c>
      <c r="G505">
        <v>8</v>
      </c>
      <c r="H505">
        <v>10</v>
      </c>
      <c r="I505">
        <v>12</v>
      </c>
      <c r="J505">
        <v>8.5979572887650875</v>
      </c>
      <c r="K505">
        <v>9.936278394083466</v>
      </c>
      <c r="L505">
        <v>11.28738865447726</v>
      </c>
      <c r="M505">
        <f t="shared" si="7"/>
        <v>9.9405414457752723</v>
      </c>
    </row>
    <row r="506" spans="1:13" x14ac:dyDescent="0.3">
      <c r="A506" t="s">
        <v>513</v>
      </c>
      <c r="B506" t="s">
        <v>1046</v>
      </c>
      <c r="C506">
        <v>26.8</v>
      </c>
      <c r="D506">
        <v>40852383.46875</v>
      </c>
      <c r="E506">
        <v>4065579.25</v>
      </c>
      <c r="F506">
        <v>48494220.75</v>
      </c>
      <c r="G506">
        <v>21</v>
      </c>
      <c r="H506">
        <v>23</v>
      </c>
      <c r="I506">
        <v>21</v>
      </c>
      <c r="J506">
        <v>22.569637883008351</v>
      </c>
      <c r="K506">
        <v>22.85344030639197</v>
      </c>
      <c r="L506">
        <v>19.75293014533521</v>
      </c>
      <c r="M506">
        <f t="shared" si="7"/>
        <v>21.72533611157851</v>
      </c>
    </row>
    <row r="507" spans="1:13" x14ac:dyDescent="0.3">
      <c r="A507" t="s">
        <v>514</v>
      </c>
      <c r="B507" t="s">
        <v>1047</v>
      </c>
      <c r="C507">
        <v>81.900000000000006</v>
      </c>
      <c r="D507">
        <v>419486.66796875</v>
      </c>
      <c r="E507">
        <v>179075.265625</v>
      </c>
      <c r="F507">
        <v>2441200.3125</v>
      </c>
      <c r="G507">
        <v>13</v>
      </c>
      <c r="H507">
        <v>10</v>
      </c>
      <c r="I507">
        <v>13</v>
      </c>
      <c r="J507">
        <v>13.971680594243271</v>
      </c>
      <c r="K507">
        <v>9.936278394083466</v>
      </c>
      <c r="L507">
        <v>12.2280043756837</v>
      </c>
      <c r="M507">
        <f t="shared" si="7"/>
        <v>12.045321121336812</v>
      </c>
    </row>
    <row r="508" spans="1:13" x14ac:dyDescent="0.3">
      <c r="A508" t="s">
        <v>515</v>
      </c>
      <c r="B508" t="s">
        <v>685</v>
      </c>
      <c r="C508">
        <v>35</v>
      </c>
      <c r="D508">
        <v>73963541.875</v>
      </c>
      <c r="E508">
        <v>82848597.125</v>
      </c>
      <c r="F508">
        <v>100314544.75</v>
      </c>
      <c r="G508">
        <v>23</v>
      </c>
      <c r="H508">
        <v>27</v>
      </c>
      <c r="I508">
        <v>27</v>
      </c>
      <c r="J508">
        <v>24.71912720519963</v>
      </c>
      <c r="K508">
        <v>26.827951664025349</v>
      </c>
      <c r="L508">
        <v>25.396624472573841</v>
      </c>
      <c r="M508">
        <f t="shared" si="7"/>
        <v>25.647901113932942</v>
      </c>
    </row>
    <row r="509" spans="1:13" x14ac:dyDescent="0.3">
      <c r="A509" t="s">
        <v>516</v>
      </c>
      <c r="B509" t="s">
        <v>1048</v>
      </c>
      <c r="C509">
        <v>57.2</v>
      </c>
      <c r="D509">
        <v>16476558.5625</v>
      </c>
      <c r="E509">
        <v>13553804.5625</v>
      </c>
      <c r="F509">
        <v>18105890.375</v>
      </c>
      <c r="G509">
        <v>14</v>
      </c>
      <c r="H509">
        <v>16</v>
      </c>
      <c r="I509">
        <v>14</v>
      </c>
      <c r="J509">
        <v>15.0464252553389</v>
      </c>
      <c r="K509">
        <v>15.898045430533539</v>
      </c>
      <c r="L509">
        <v>13.168620096890139</v>
      </c>
      <c r="M509">
        <f t="shared" si="7"/>
        <v>14.704363594254191</v>
      </c>
    </row>
    <row r="510" spans="1:13" x14ac:dyDescent="0.3">
      <c r="A510" t="s">
        <v>517</v>
      </c>
      <c r="B510" t="s">
        <v>1049</v>
      </c>
      <c r="C510">
        <v>29.2</v>
      </c>
      <c r="D510">
        <v>733195.8125</v>
      </c>
      <c r="E510">
        <v>1183931.125</v>
      </c>
      <c r="F510">
        <v>0</v>
      </c>
      <c r="G510">
        <v>23</v>
      </c>
      <c r="H510">
        <v>24</v>
      </c>
      <c r="J510">
        <v>24.71912720519963</v>
      </c>
      <c r="K510">
        <v>23.847068145800321</v>
      </c>
      <c r="L510" t="s">
        <v>1184</v>
      </c>
      <c r="M510">
        <f t="shared" si="7"/>
        <v>24.283097675499974</v>
      </c>
    </row>
    <row r="511" spans="1:13" x14ac:dyDescent="0.3">
      <c r="A511" t="s">
        <v>518</v>
      </c>
      <c r="B511" t="s">
        <v>1050</v>
      </c>
      <c r="C511">
        <v>51</v>
      </c>
      <c r="D511">
        <v>22975436.5</v>
      </c>
      <c r="E511">
        <v>27184716.375</v>
      </c>
      <c r="F511">
        <v>29965350.75</v>
      </c>
      <c r="G511">
        <v>52</v>
      </c>
      <c r="H511">
        <v>56</v>
      </c>
      <c r="I511">
        <v>49</v>
      </c>
      <c r="J511">
        <v>55.886722376973069</v>
      </c>
      <c r="K511">
        <v>55.643159006867407</v>
      </c>
      <c r="L511">
        <v>46.090170339115488</v>
      </c>
      <c r="M511">
        <f t="shared" si="7"/>
        <v>52.540017240985321</v>
      </c>
    </row>
    <row r="512" spans="1:13" x14ac:dyDescent="0.3">
      <c r="A512" t="s">
        <v>519</v>
      </c>
      <c r="B512" t="s">
        <v>1051</v>
      </c>
      <c r="C512">
        <v>29.2</v>
      </c>
      <c r="D512">
        <v>7335678.125</v>
      </c>
      <c r="E512">
        <v>12467628.5</v>
      </c>
      <c r="F512">
        <v>14179873</v>
      </c>
      <c r="G512">
        <v>35</v>
      </c>
      <c r="H512">
        <v>37</v>
      </c>
      <c r="I512">
        <v>37</v>
      </c>
      <c r="J512">
        <v>37.616063138347258</v>
      </c>
      <c r="K512">
        <v>36.764230058108822</v>
      </c>
      <c r="L512">
        <v>34.802781684638227</v>
      </c>
      <c r="M512">
        <f t="shared" si="7"/>
        <v>36.394358293698104</v>
      </c>
    </row>
    <row r="513" spans="1:13" x14ac:dyDescent="0.3">
      <c r="A513" t="s">
        <v>520</v>
      </c>
      <c r="B513" t="s">
        <v>1052</v>
      </c>
      <c r="C513">
        <v>27.5</v>
      </c>
      <c r="D513">
        <v>5406270.25</v>
      </c>
      <c r="E513">
        <v>8644392.4375</v>
      </c>
      <c r="F513">
        <v>6464134.875</v>
      </c>
      <c r="G513">
        <v>5</v>
      </c>
      <c r="H513">
        <v>6</v>
      </c>
      <c r="I513">
        <v>8</v>
      </c>
      <c r="J513">
        <v>5.3737233054781806</v>
      </c>
      <c r="K513">
        <v>5.9617670364500794</v>
      </c>
      <c r="L513">
        <v>7.5249257696515084</v>
      </c>
      <c r="M513">
        <f t="shared" si="7"/>
        <v>6.2868053705265892</v>
      </c>
    </row>
    <row r="514" spans="1:13" x14ac:dyDescent="0.3">
      <c r="A514" t="s">
        <v>521</v>
      </c>
      <c r="B514" t="s">
        <v>685</v>
      </c>
      <c r="C514">
        <v>36.799999999999997</v>
      </c>
      <c r="D514">
        <v>43780473.875</v>
      </c>
      <c r="E514">
        <v>42264061.1875</v>
      </c>
      <c r="F514">
        <v>41463528.3125</v>
      </c>
      <c r="G514">
        <v>24</v>
      </c>
      <c r="H514">
        <v>26</v>
      </c>
      <c r="I514">
        <v>21</v>
      </c>
      <c r="J514">
        <v>25.79387186629527</v>
      </c>
      <c r="K514">
        <v>25.834323824617009</v>
      </c>
      <c r="L514">
        <v>19.75293014533521</v>
      </c>
      <c r="M514">
        <f t="shared" si="7"/>
        <v>23.793708612082497</v>
      </c>
    </row>
    <row r="515" spans="1:13" x14ac:dyDescent="0.3">
      <c r="A515" t="s">
        <v>522</v>
      </c>
      <c r="B515" t="s">
        <v>1053</v>
      </c>
      <c r="C515">
        <v>52.5</v>
      </c>
      <c r="D515">
        <v>29419168</v>
      </c>
      <c r="E515">
        <v>44453816</v>
      </c>
      <c r="F515">
        <v>50783720</v>
      </c>
      <c r="G515">
        <v>49</v>
      </c>
      <c r="H515">
        <v>52</v>
      </c>
      <c r="I515">
        <v>45</v>
      </c>
      <c r="J515">
        <v>52.662488393686161</v>
      </c>
      <c r="K515">
        <v>51.668647649234018</v>
      </c>
      <c r="L515">
        <v>42.32770745428973</v>
      </c>
      <c r="M515">
        <f t="shared" si="7"/>
        <v>48.886281165736641</v>
      </c>
    </row>
    <row r="516" spans="1:13" x14ac:dyDescent="0.3">
      <c r="A516" t="s">
        <v>523</v>
      </c>
      <c r="B516" t="s">
        <v>1054</v>
      </c>
      <c r="C516">
        <v>69.7</v>
      </c>
      <c r="D516">
        <v>50906.2734375</v>
      </c>
      <c r="E516">
        <v>715739.234375</v>
      </c>
      <c r="F516">
        <v>654816.875</v>
      </c>
      <c r="G516">
        <v>3</v>
      </c>
      <c r="H516">
        <v>5</v>
      </c>
      <c r="I516">
        <v>3</v>
      </c>
      <c r="J516">
        <v>3.2242339832869078</v>
      </c>
      <c r="K516">
        <v>4.968139197041733</v>
      </c>
      <c r="L516">
        <v>2.821847163619315</v>
      </c>
      <c r="M516">
        <f t="shared" ref="M516:M579" si="8">AVERAGE(J516:L516)</f>
        <v>3.6714067813159854</v>
      </c>
    </row>
    <row r="517" spans="1:13" x14ac:dyDescent="0.3">
      <c r="A517" t="s">
        <v>524</v>
      </c>
      <c r="B517" t="s">
        <v>685</v>
      </c>
      <c r="C517">
        <v>14</v>
      </c>
      <c r="D517">
        <v>13645044.5</v>
      </c>
      <c r="E517">
        <v>15913744</v>
      </c>
      <c r="F517">
        <v>15772550</v>
      </c>
      <c r="G517">
        <v>4</v>
      </c>
      <c r="H517">
        <v>4</v>
      </c>
      <c r="I517">
        <v>4</v>
      </c>
      <c r="J517">
        <v>4.2989786443825437</v>
      </c>
      <c r="K517">
        <v>3.9745113576333861</v>
      </c>
      <c r="L517">
        <v>3.7624628848257542</v>
      </c>
      <c r="M517">
        <f t="shared" si="8"/>
        <v>4.0119842956138951</v>
      </c>
    </row>
    <row r="518" spans="1:13" x14ac:dyDescent="0.3">
      <c r="A518" t="s">
        <v>525</v>
      </c>
      <c r="B518" t="s">
        <v>1055</v>
      </c>
      <c r="C518">
        <v>17.600000000000001</v>
      </c>
      <c r="D518">
        <v>11865621.875</v>
      </c>
      <c r="E518">
        <v>14777148.5</v>
      </c>
      <c r="F518">
        <v>18240048.25</v>
      </c>
      <c r="G518">
        <v>12</v>
      </c>
      <c r="H518">
        <v>16</v>
      </c>
      <c r="I518">
        <v>14</v>
      </c>
      <c r="J518">
        <v>12.896935933147629</v>
      </c>
      <c r="K518">
        <v>15.898045430533539</v>
      </c>
      <c r="L518">
        <v>13.168620096890139</v>
      </c>
      <c r="M518">
        <f t="shared" si="8"/>
        <v>13.987867153523768</v>
      </c>
    </row>
    <row r="519" spans="1:13" x14ac:dyDescent="0.3">
      <c r="A519" t="s">
        <v>526</v>
      </c>
      <c r="B519" t="s">
        <v>1056</v>
      </c>
      <c r="C519">
        <v>125.5</v>
      </c>
      <c r="D519">
        <v>1406767.5625</v>
      </c>
      <c r="E519">
        <v>2012447.5625</v>
      </c>
      <c r="F519">
        <v>3067823.8125</v>
      </c>
      <c r="G519">
        <v>3</v>
      </c>
      <c r="H519">
        <v>3</v>
      </c>
      <c r="I519">
        <v>5</v>
      </c>
      <c r="J519">
        <v>3.2242339832869078</v>
      </c>
      <c r="K519">
        <v>2.9808835182250402</v>
      </c>
      <c r="L519">
        <v>4.7030786060321921</v>
      </c>
      <c r="M519">
        <f t="shared" si="8"/>
        <v>3.6360653691813796</v>
      </c>
    </row>
    <row r="520" spans="1:13" x14ac:dyDescent="0.3">
      <c r="A520" t="s">
        <v>527</v>
      </c>
      <c r="B520" t="s">
        <v>685</v>
      </c>
      <c r="C520">
        <v>54.2</v>
      </c>
      <c r="D520">
        <v>35074982.568359397</v>
      </c>
      <c r="E520">
        <v>36508669.1875</v>
      </c>
      <c r="F520">
        <v>36867740.3125</v>
      </c>
      <c r="G520">
        <v>32</v>
      </c>
      <c r="H520">
        <v>25</v>
      </c>
      <c r="I520">
        <v>27</v>
      </c>
      <c r="J520">
        <v>34.39182915506035</v>
      </c>
      <c r="K520">
        <v>24.840695985208662</v>
      </c>
      <c r="L520">
        <v>25.396624472573841</v>
      </c>
      <c r="M520">
        <f t="shared" si="8"/>
        <v>28.209716537614284</v>
      </c>
    </row>
    <row r="521" spans="1:13" x14ac:dyDescent="0.3">
      <c r="A521" t="s">
        <v>528</v>
      </c>
      <c r="B521" t="s">
        <v>1057</v>
      </c>
      <c r="C521">
        <v>26.6</v>
      </c>
      <c r="D521">
        <v>3367336.5859375</v>
      </c>
      <c r="E521">
        <v>3592519.5</v>
      </c>
      <c r="F521">
        <v>3448379.9375</v>
      </c>
      <c r="G521">
        <v>9</v>
      </c>
      <c r="H521">
        <v>9</v>
      </c>
      <c r="I521">
        <v>10</v>
      </c>
      <c r="J521">
        <v>9.6727019498607234</v>
      </c>
      <c r="K521">
        <v>8.9426505546751187</v>
      </c>
      <c r="L521">
        <v>9.4061572120643842</v>
      </c>
      <c r="M521">
        <f t="shared" si="8"/>
        <v>9.3405032388667433</v>
      </c>
    </row>
    <row r="522" spans="1:13" x14ac:dyDescent="0.3">
      <c r="A522" t="s">
        <v>529</v>
      </c>
      <c r="B522" t="s">
        <v>1058</v>
      </c>
      <c r="C522">
        <v>16.7</v>
      </c>
      <c r="D522">
        <v>13917716.25</v>
      </c>
      <c r="E522">
        <v>13714359.5</v>
      </c>
      <c r="F522">
        <v>10632074.5</v>
      </c>
      <c r="G522">
        <v>5</v>
      </c>
      <c r="H522">
        <v>4</v>
      </c>
      <c r="I522">
        <v>4</v>
      </c>
      <c r="J522">
        <v>5.3737233054781806</v>
      </c>
      <c r="K522">
        <v>3.9745113576333861</v>
      </c>
      <c r="L522">
        <v>3.7624628848257542</v>
      </c>
      <c r="M522">
        <f t="shared" si="8"/>
        <v>4.3702325159791071</v>
      </c>
    </row>
    <row r="523" spans="1:13" x14ac:dyDescent="0.3">
      <c r="A523" t="s">
        <v>530</v>
      </c>
      <c r="B523" t="s">
        <v>1059</v>
      </c>
      <c r="C523">
        <v>22</v>
      </c>
      <c r="D523">
        <v>4014200.1875</v>
      </c>
      <c r="E523">
        <v>7039276.96875</v>
      </c>
      <c r="F523">
        <v>6273101.9375</v>
      </c>
      <c r="G523">
        <v>8</v>
      </c>
      <c r="H523">
        <v>10</v>
      </c>
      <c r="I523">
        <v>7</v>
      </c>
      <c r="J523">
        <v>8.5979572887650875</v>
      </c>
      <c r="K523">
        <v>9.936278394083466</v>
      </c>
      <c r="L523">
        <v>6.5843100484450696</v>
      </c>
      <c r="M523">
        <f t="shared" si="8"/>
        <v>8.3728485770978747</v>
      </c>
    </row>
    <row r="524" spans="1:13" x14ac:dyDescent="0.3">
      <c r="A524" t="s">
        <v>531</v>
      </c>
      <c r="B524" t="s">
        <v>1060</v>
      </c>
      <c r="C524">
        <v>14.8</v>
      </c>
      <c r="D524">
        <v>14913019.4375</v>
      </c>
      <c r="E524">
        <v>25385852.75</v>
      </c>
      <c r="F524">
        <v>21397664.375</v>
      </c>
      <c r="G524">
        <v>6</v>
      </c>
      <c r="H524">
        <v>9</v>
      </c>
      <c r="I524">
        <v>6</v>
      </c>
      <c r="J524">
        <v>6.4484679665738156</v>
      </c>
      <c r="K524">
        <v>8.9426505546751187</v>
      </c>
      <c r="L524">
        <v>5.6436943272386308</v>
      </c>
      <c r="M524">
        <f t="shared" si="8"/>
        <v>7.0116042828291887</v>
      </c>
    </row>
    <row r="525" spans="1:13" x14ac:dyDescent="0.3">
      <c r="A525" t="s">
        <v>532</v>
      </c>
      <c r="B525" t="s">
        <v>1061</v>
      </c>
      <c r="C525">
        <v>15.6</v>
      </c>
      <c r="D525">
        <v>1990584.25</v>
      </c>
      <c r="E525">
        <v>1668057</v>
      </c>
      <c r="F525">
        <v>2444013.75</v>
      </c>
      <c r="G525">
        <v>6</v>
      </c>
      <c r="H525">
        <v>6</v>
      </c>
      <c r="I525">
        <v>6</v>
      </c>
      <c r="J525">
        <v>6.4484679665738156</v>
      </c>
      <c r="K525">
        <v>5.9617670364500794</v>
      </c>
      <c r="L525">
        <v>5.6436943272386308</v>
      </c>
      <c r="M525">
        <f t="shared" si="8"/>
        <v>6.0179764434208423</v>
      </c>
    </row>
    <row r="526" spans="1:13" x14ac:dyDescent="0.3">
      <c r="A526" t="s">
        <v>533</v>
      </c>
      <c r="B526" t="s">
        <v>1062</v>
      </c>
      <c r="C526">
        <v>97.2</v>
      </c>
      <c r="D526">
        <v>73819741.140625</v>
      </c>
      <c r="E526">
        <v>88959705.5625</v>
      </c>
      <c r="F526">
        <v>100168020.53125</v>
      </c>
      <c r="G526">
        <v>80</v>
      </c>
      <c r="H526">
        <v>84</v>
      </c>
      <c r="I526">
        <v>84</v>
      </c>
      <c r="J526">
        <v>85.979572887650889</v>
      </c>
      <c r="K526">
        <v>83.464738510301103</v>
      </c>
      <c r="L526">
        <v>79.011720581340825</v>
      </c>
      <c r="M526">
        <f t="shared" si="8"/>
        <v>82.818677326430944</v>
      </c>
    </row>
    <row r="527" spans="1:13" x14ac:dyDescent="0.3">
      <c r="A527" t="s">
        <v>534</v>
      </c>
      <c r="B527" t="s">
        <v>1063</v>
      </c>
      <c r="C527">
        <v>81</v>
      </c>
      <c r="D527">
        <v>5853402.25</v>
      </c>
      <c r="E527">
        <v>6642652.125</v>
      </c>
      <c r="F527">
        <v>3861026.125</v>
      </c>
      <c r="G527">
        <v>10</v>
      </c>
      <c r="H527">
        <v>11</v>
      </c>
      <c r="I527">
        <v>9</v>
      </c>
      <c r="J527">
        <v>10.747446610956359</v>
      </c>
      <c r="K527">
        <v>10.92990623349181</v>
      </c>
      <c r="L527">
        <v>8.4655414908579463</v>
      </c>
      <c r="M527">
        <f t="shared" si="8"/>
        <v>10.04763144510204</v>
      </c>
    </row>
    <row r="528" spans="1:13" x14ac:dyDescent="0.3">
      <c r="A528" t="s">
        <v>535</v>
      </c>
      <c r="B528" t="s">
        <v>1064</v>
      </c>
      <c r="C528">
        <v>43.2</v>
      </c>
      <c r="D528">
        <v>1970848.5</v>
      </c>
      <c r="E528">
        <v>1421093.65625</v>
      </c>
      <c r="F528">
        <v>4183876.3125</v>
      </c>
      <c r="G528">
        <v>4</v>
      </c>
      <c r="H528">
        <v>3</v>
      </c>
      <c r="I528">
        <v>5</v>
      </c>
      <c r="J528">
        <v>4.2989786443825437</v>
      </c>
      <c r="K528">
        <v>2.9808835182250402</v>
      </c>
      <c r="L528">
        <v>4.7030786060321921</v>
      </c>
      <c r="M528">
        <f t="shared" si="8"/>
        <v>3.9943135895465915</v>
      </c>
    </row>
    <row r="529" spans="1:13" x14ac:dyDescent="0.3">
      <c r="A529" t="s">
        <v>536</v>
      </c>
      <c r="B529" t="s">
        <v>1065</v>
      </c>
      <c r="C529">
        <v>35.299999999999997</v>
      </c>
      <c r="D529">
        <v>3444760.65625</v>
      </c>
      <c r="E529">
        <v>4195571.75</v>
      </c>
      <c r="F529">
        <v>6101400.75</v>
      </c>
      <c r="G529">
        <v>5</v>
      </c>
      <c r="H529">
        <v>6</v>
      </c>
      <c r="I529">
        <v>6</v>
      </c>
      <c r="J529">
        <v>5.3737233054781806</v>
      </c>
      <c r="K529">
        <v>5.9617670364500794</v>
      </c>
      <c r="L529">
        <v>5.6436943272386308</v>
      </c>
      <c r="M529">
        <f t="shared" si="8"/>
        <v>5.6597282230556303</v>
      </c>
    </row>
    <row r="530" spans="1:13" x14ac:dyDescent="0.3">
      <c r="A530" t="s">
        <v>537</v>
      </c>
      <c r="B530" t="s">
        <v>1066</v>
      </c>
      <c r="C530">
        <v>39.6</v>
      </c>
      <c r="D530">
        <v>9937899</v>
      </c>
      <c r="E530">
        <v>8763470</v>
      </c>
      <c r="F530">
        <v>13620029</v>
      </c>
      <c r="G530">
        <v>17</v>
      </c>
      <c r="H530">
        <v>16</v>
      </c>
      <c r="I530">
        <v>15</v>
      </c>
      <c r="J530">
        <v>18.270659238625811</v>
      </c>
      <c r="K530">
        <v>15.898045430533539</v>
      </c>
      <c r="L530">
        <v>14.109235818096581</v>
      </c>
      <c r="M530">
        <f t="shared" si="8"/>
        <v>16.092646829085311</v>
      </c>
    </row>
    <row r="531" spans="1:13" x14ac:dyDescent="0.3">
      <c r="A531" t="s">
        <v>538</v>
      </c>
      <c r="B531" t="s">
        <v>1067</v>
      </c>
      <c r="C531">
        <v>47.7</v>
      </c>
      <c r="D531">
        <v>5861857.1875</v>
      </c>
      <c r="E531">
        <v>6844038.328125</v>
      </c>
      <c r="F531">
        <v>7789995.4375</v>
      </c>
      <c r="G531">
        <v>7</v>
      </c>
      <c r="H531">
        <v>8</v>
      </c>
      <c r="I531">
        <v>6</v>
      </c>
      <c r="J531">
        <v>7.5232126276694524</v>
      </c>
      <c r="K531">
        <v>7.9490227152667723</v>
      </c>
      <c r="L531">
        <v>5.6436943272386308</v>
      </c>
      <c r="M531">
        <f t="shared" si="8"/>
        <v>7.0386432233916194</v>
      </c>
    </row>
    <row r="532" spans="1:13" x14ac:dyDescent="0.3">
      <c r="A532" t="s">
        <v>539</v>
      </c>
      <c r="B532" t="s">
        <v>1068</v>
      </c>
      <c r="C532">
        <v>11.2</v>
      </c>
      <c r="D532">
        <v>6304654.375</v>
      </c>
      <c r="E532">
        <v>8789729.5</v>
      </c>
      <c r="F532">
        <v>8397765.375</v>
      </c>
      <c r="G532">
        <v>6</v>
      </c>
      <c r="H532">
        <v>6</v>
      </c>
      <c r="I532">
        <v>6</v>
      </c>
      <c r="J532">
        <v>6.4484679665738156</v>
      </c>
      <c r="K532">
        <v>5.9617670364500794</v>
      </c>
      <c r="L532">
        <v>5.6436943272386308</v>
      </c>
      <c r="M532">
        <f t="shared" si="8"/>
        <v>6.0179764434208423</v>
      </c>
    </row>
    <row r="533" spans="1:13" x14ac:dyDescent="0.3">
      <c r="A533" t="s">
        <v>540</v>
      </c>
      <c r="B533" t="s">
        <v>1069</v>
      </c>
      <c r="C533">
        <v>26.5</v>
      </c>
      <c r="D533">
        <v>6505166</v>
      </c>
      <c r="E533">
        <v>5944970.5</v>
      </c>
      <c r="F533">
        <v>9274698</v>
      </c>
      <c r="G533">
        <v>10</v>
      </c>
      <c r="H533">
        <v>10</v>
      </c>
      <c r="I533">
        <v>10</v>
      </c>
      <c r="J533">
        <v>10.747446610956359</v>
      </c>
      <c r="K533">
        <v>9.936278394083466</v>
      </c>
      <c r="L533">
        <v>9.4061572120643842</v>
      </c>
      <c r="M533">
        <f t="shared" si="8"/>
        <v>10.029960739034737</v>
      </c>
    </row>
    <row r="534" spans="1:13" x14ac:dyDescent="0.3">
      <c r="A534" t="s">
        <v>541</v>
      </c>
      <c r="B534" t="s">
        <v>1070</v>
      </c>
      <c r="C534">
        <v>22</v>
      </c>
      <c r="D534">
        <v>20131578.8125</v>
      </c>
      <c r="E534">
        <v>24662708.25</v>
      </c>
      <c r="F534">
        <v>0</v>
      </c>
      <c r="G534">
        <v>9</v>
      </c>
      <c r="H534">
        <v>10</v>
      </c>
      <c r="J534">
        <v>9.6727019498607234</v>
      </c>
      <c r="K534">
        <v>9.936278394083466</v>
      </c>
      <c r="L534" t="s">
        <v>1184</v>
      </c>
      <c r="M534">
        <f t="shared" si="8"/>
        <v>9.8044901719720947</v>
      </c>
    </row>
    <row r="535" spans="1:13" x14ac:dyDescent="0.3">
      <c r="A535" t="s">
        <v>542</v>
      </c>
      <c r="B535" t="s">
        <v>1071</v>
      </c>
      <c r="C535">
        <v>41.8</v>
      </c>
      <c r="D535">
        <v>7673941.5</v>
      </c>
      <c r="E535">
        <v>7309831.5</v>
      </c>
      <c r="F535">
        <v>8647974.0625</v>
      </c>
      <c r="G535">
        <v>7</v>
      </c>
      <c r="H535">
        <v>9</v>
      </c>
      <c r="I535">
        <v>7</v>
      </c>
      <c r="J535">
        <v>7.5232126276694524</v>
      </c>
      <c r="K535">
        <v>8.9426505546751187</v>
      </c>
      <c r="L535">
        <v>6.5843100484450696</v>
      </c>
      <c r="M535">
        <f t="shared" si="8"/>
        <v>7.6833910769298797</v>
      </c>
    </row>
    <row r="536" spans="1:13" x14ac:dyDescent="0.3">
      <c r="A536" t="s">
        <v>543</v>
      </c>
      <c r="B536" t="s">
        <v>1072</v>
      </c>
      <c r="C536">
        <v>41.2</v>
      </c>
      <c r="D536">
        <v>14908934.8125</v>
      </c>
      <c r="E536">
        <v>14549594.4375</v>
      </c>
      <c r="F536">
        <v>16415045.40625</v>
      </c>
      <c r="G536">
        <v>20</v>
      </c>
      <c r="H536">
        <v>17</v>
      </c>
      <c r="I536">
        <v>16</v>
      </c>
      <c r="J536">
        <v>21.494893221912719</v>
      </c>
      <c r="K536">
        <v>16.89167326994189</v>
      </c>
      <c r="L536">
        <v>15.04985153930302</v>
      </c>
      <c r="M536">
        <f t="shared" si="8"/>
        <v>17.81213934371921</v>
      </c>
    </row>
    <row r="537" spans="1:13" x14ac:dyDescent="0.3">
      <c r="A537" t="s">
        <v>544</v>
      </c>
      <c r="B537" t="s">
        <v>1073</v>
      </c>
      <c r="C537">
        <v>44.8</v>
      </c>
      <c r="D537">
        <v>36854495.15625</v>
      </c>
      <c r="E537">
        <v>40987193</v>
      </c>
      <c r="F537">
        <v>69304578.78125</v>
      </c>
      <c r="G537">
        <v>34</v>
      </c>
      <c r="H537">
        <v>39</v>
      </c>
      <c r="I537">
        <v>38</v>
      </c>
      <c r="J537">
        <v>36.541318477251622</v>
      </c>
      <c r="K537">
        <v>38.75148573692551</v>
      </c>
      <c r="L537">
        <v>35.743397405844661</v>
      </c>
      <c r="M537">
        <f t="shared" si="8"/>
        <v>37.012067206673926</v>
      </c>
    </row>
    <row r="538" spans="1:13" x14ac:dyDescent="0.3">
      <c r="A538" t="s">
        <v>545</v>
      </c>
      <c r="B538" t="s">
        <v>1074</v>
      </c>
      <c r="C538">
        <v>31</v>
      </c>
      <c r="D538">
        <v>68571850.3125</v>
      </c>
      <c r="E538">
        <v>92239961.5</v>
      </c>
      <c r="F538">
        <v>108171263.625</v>
      </c>
      <c r="G538">
        <v>19</v>
      </c>
      <c r="H538">
        <v>28</v>
      </c>
      <c r="I538">
        <v>27</v>
      </c>
      <c r="J538">
        <v>20.420148560817079</v>
      </c>
      <c r="K538">
        <v>27.8215795034337</v>
      </c>
      <c r="L538">
        <v>25.396624472573841</v>
      </c>
      <c r="M538">
        <f t="shared" si="8"/>
        <v>24.546117512274872</v>
      </c>
    </row>
    <row r="539" spans="1:13" x14ac:dyDescent="0.3">
      <c r="A539" t="s">
        <v>546</v>
      </c>
      <c r="B539" t="s">
        <v>1075</v>
      </c>
      <c r="C539">
        <v>32.5</v>
      </c>
      <c r="D539">
        <v>2051551.5625</v>
      </c>
      <c r="E539">
        <v>2398471</v>
      </c>
      <c r="F539">
        <v>2744657.4375</v>
      </c>
      <c r="G539">
        <v>4</v>
      </c>
      <c r="H539">
        <v>5</v>
      </c>
      <c r="I539">
        <v>4</v>
      </c>
      <c r="J539">
        <v>4.2989786443825437</v>
      </c>
      <c r="K539">
        <v>4.968139197041733</v>
      </c>
      <c r="L539">
        <v>3.7624628848257542</v>
      </c>
      <c r="M539">
        <f t="shared" si="8"/>
        <v>4.3431935754166773</v>
      </c>
    </row>
    <row r="540" spans="1:13" x14ac:dyDescent="0.3">
      <c r="A540" t="s">
        <v>547</v>
      </c>
      <c r="B540" t="s">
        <v>1076</v>
      </c>
      <c r="C540">
        <v>89.8</v>
      </c>
      <c r="D540">
        <v>2824551.25</v>
      </c>
      <c r="E540">
        <v>1794488.625</v>
      </c>
      <c r="F540">
        <v>3399970.140625</v>
      </c>
      <c r="G540">
        <v>6</v>
      </c>
      <c r="H540">
        <v>5</v>
      </c>
      <c r="I540">
        <v>5</v>
      </c>
      <c r="J540">
        <v>6.4484679665738156</v>
      </c>
      <c r="K540">
        <v>4.968139197041733</v>
      </c>
      <c r="L540">
        <v>4.7030786060321921</v>
      </c>
      <c r="M540">
        <f t="shared" si="8"/>
        <v>5.3732285898825802</v>
      </c>
    </row>
    <row r="541" spans="1:13" x14ac:dyDescent="0.3">
      <c r="A541" t="s">
        <v>548</v>
      </c>
      <c r="B541" t="s">
        <v>1077</v>
      </c>
      <c r="C541">
        <v>21.3</v>
      </c>
      <c r="D541">
        <v>3498894.5625</v>
      </c>
      <c r="E541">
        <v>2390387.5</v>
      </c>
      <c r="F541">
        <v>2261749.5</v>
      </c>
      <c r="G541">
        <v>8</v>
      </c>
      <c r="H541">
        <v>6</v>
      </c>
      <c r="I541">
        <v>6</v>
      </c>
      <c r="J541">
        <v>8.5979572887650875</v>
      </c>
      <c r="K541">
        <v>5.9617670364500794</v>
      </c>
      <c r="L541">
        <v>5.6436943272386308</v>
      </c>
      <c r="M541">
        <f t="shared" si="8"/>
        <v>6.7344728841512662</v>
      </c>
    </row>
    <row r="542" spans="1:13" x14ac:dyDescent="0.3">
      <c r="A542" t="s">
        <v>549</v>
      </c>
      <c r="B542" t="s">
        <v>1078</v>
      </c>
      <c r="C542">
        <v>15.2</v>
      </c>
      <c r="D542">
        <v>5107214.09375</v>
      </c>
      <c r="E542">
        <v>7293645.4375</v>
      </c>
      <c r="F542">
        <v>8107734.875</v>
      </c>
      <c r="G542">
        <v>5</v>
      </c>
      <c r="H542">
        <v>6</v>
      </c>
      <c r="I542">
        <v>6</v>
      </c>
      <c r="J542">
        <v>5.3737233054781806</v>
      </c>
      <c r="K542">
        <v>5.9617670364500794</v>
      </c>
      <c r="L542">
        <v>5.6436943272386308</v>
      </c>
      <c r="M542">
        <f t="shared" si="8"/>
        <v>5.6597282230556303</v>
      </c>
    </row>
    <row r="543" spans="1:13" x14ac:dyDescent="0.3">
      <c r="A543" t="s">
        <v>550</v>
      </c>
      <c r="B543" t="s">
        <v>1079</v>
      </c>
      <c r="C543">
        <v>62.2</v>
      </c>
      <c r="D543">
        <v>8264350.75</v>
      </c>
      <c r="E543">
        <v>9108657.375</v>
      </c>
      <c r="F543">
        <v>12840726.625</v>
      </c>
      <c r="G543">
        <v>10</v>
      </c>
      <c r="H543">
        <v>11</v>
      </c>
      <c r="I543">
        <v>13</v>
      </c>
      <c r="J543">
        <v>10.747446610956359</v>
      </c>
      <c r="K543">
        <v>10.92990623349181</v>
      </c>
      <c r="L543">
        <v>12.2280043756837</v>
      </c>
      <c r="M543">
        <f t="shared" si="8"/>
        <v>11.301785740043956</v>
      </c>
    </row>
    <row r="544" spans="1:13" x14ac:dyDescent="0.3">
      <c r="A544" t="s">
        <v>551</v>
      </c>
      <c r="B544" t="s">
        <v>1080</v>
      </c>
      <c r="C544">
        <v>18.399999999999999</v>
      </c>
      <c r="D544">
        <v>4716097.3125</v>
      </c>
      <c r="E544">
        <v>7146762.875</v>
      </c>
      <c r="F544">
        <v>7247727.3125</v>
      </c>
      <c r="G544">
        <v>6</v>
      </c>
      <c r="H544">
        <v>9</v>
      </c>
      <c r="I544">
        <v>8</v>
      </c>
      <c r="J544">
        <v>6.4484679665738156</v>
      </c>
      <c r="K544">
        <v>8.9426505546751187</v>
      </c>
      <c r="L544">
        <v>7.5249257696515084</v>
      </c>
      <c r="M544">
        <f t="shared" si="8"/>
        <v>7.6386814303001485</v>
      </c>
    </row>
    <row r="545" spans="1:13" x14ac:dyDescent="0.3">
      <c r="A545" t="s">
        <v>552</v>
      </c>
      <c r="B545" t="s">
        <v>1081</v>
      </c>
      <c r="C545">
        <v>42.1</v>
      </c>
      <c r="D545">
        <v>0</v>
      </c>
      <c r="E545">
        <v>864451.75</v>
      </c>
      <c r="F545">
        <v>1553963</v>
      </c>
      <c r="G545">
        <v>4</v>
      </c>
      <c r="H545">
        <v>5</v>
      </c>
      <c r="I545">
        <v>6</v>
      </c>
      <c r="J545">
        <v>4.2989786443825437</v>
      </c>
      <c r="K545">
        <v>4.968139197041733</v>
      </c>
      <c r="L545">
        <v>5.6436943272386308</v>
      </c>
      <c r="M545">
        <f t="shared" si="8"/>
        <v>4.9702707228876362</v>
      </c>
    </row>
    <row r="546" spans="1:13" x14ac:dyDescent="0.3">
      <c r="A546" t="s">
        <v>553</v>
      </c>
      <c r="B546" t="s">
        <v>1082</v>
      </c>
      <c r="C546">
        <v>23.2</v>
      </c>
      <c r="D546">
        <v>5365764.125</v>
      </c>
      <c r="E546">
        <v>5739673.125</v>
      </c>
      <c r="F546">
        <v>3873081.625</v>
      </c>
      <c r="G546">
        <v>7</v>
      </c>
      <c r="H546">
        <v>8</v>
      </c>
      <c r="I546">
        <v>6</v>
      </c>
      <c r="J546">
        <v>7.5232126276694524</v>
      </c>
      <c r="K546">
        <v>7.9490227152667723</v>
      </c>
      <c r="L546">
        <v>5.6436943272386308</v>
      </c>
      <c r="M546">
        <f t="shared" si="8"/>
        <v>7.0386432233916194</v>
      </c>
    </row>
    <row r="547" spans="1:13" x14ac:dyDescent="0.3">
      <c r="A547" t="s">
        <v>554</v>
      </c>
      <c r="B547" t="s">
        <v>1083</v>
      </c>
      <c r="C547">
        <v>33.700000000000003</v>
      </c>
      <c r="D547">
        <v>1970173.75</v>
      </c>
      <c r="E547">
        <v>1194127</v>
      </c>
      <c r="F547">
        <v>4125110.90625</v>
      </c>
      <c r="G547">
        <v>4</v>
      </c>
      <c r="H547">
        <v>3</v>
      </c>
      <c r="I547">
        <v>4</v>
      </c>
      <c r="J547">
        <v>4.2989786443825437</v>
      </c>
      <c r="K547">
        <v>2.9808835182250402</v>
      </c>
      <c r="L547">
        <v>3.7624628848257542</v>
      </c>
      <c r="M547">
        <f t="shared" si="8"/>
        <v>3.6807750158111125</v>
      </c>
    </row>
    <row r="548" spans="1:13" x14ac:dyDescent="0.3">
      <c r="A548" t="s">
        <v>555</v>
      </c>
      <c r="B548" t="s">
        <v>1084</v>
      </c>
      <c r="C548">
        <v>17.2</v>
      </c>
      <c r="D548">
        <v>3991912.125</v>
      </c>
      <c r="E548">
        <v>5053093</v>
      </c>
      <c r="F548">
        <v>6401376.75</v>
      </c>
      <c r="G548">
        <v>14</v>
      </c>
      <c r="H548">
        <v>13</v>
      </c>
      <c r="I548">
        <v>14</v>
      </c>
      <c r="J548">
        <v>15.0464252553389</v>
      </c>
      <c r="K548">
        <v>12.917161912308501</v>
      </c>
      <c r="L548">
        <v>13.168620096890139</v>
      </c>
      <c r="M548">
        <f t="shared" si="8"/>
        <v>13.710735754845848</v>
      </c>
    </row>
    <row r="549" spans="1:13" x14ac:dyDescent="0.3">
      <c r="A549" t="s">
        <v>556</v>
      </c>
      <c r="B549" t="s">
        <v>1085</v>
      </c>
      <c r="C549">
        <v>18.100000000000001</v>
      </c>
      <c r="D549">
        <v>1957156.375</v>
      </c>
      <c r="E549">
        <v>2251307.375</v>
      </c>
      <c r="F549">
        <v>2535274.4375</v>
      </c>
      <c r="G549">
        <v>7</v>
      </c>
      <c r="H549">
        <v>9</v>
      </c>
      <c r="I549">
        <v>10</v>
      </c>
      <c r="J549">
        <v>7.5232126276694524</v>
      </c>
      <c r="K549">
        <v>8.9426505546751187</v>
      </c>
      <c r="L549">
        <v>9.4061572120643842</v>
      </c>
      <c r="M549">
        <f t="shared" si="8"/>
        <v>8.6240067981363193</v>
      </c>
    </row>
    <row r="550" spans="1:13" x14ac:dyDescent="0.3">
      <c r="A550" t="s">
        <v>557</v>
      </c>
      <c r="B550" t="s">
        <v>1086</v>
      </c>
      <c r="C550">
        <v>18.2</v>
      </c>
      <c r="D550">
        <v>5737014.125</v>
      </c>
      <c r="E550">
        <v>7027312.375</v>
      </c>
      <c r="F550">
        <v>7895368.375</v>
      </c>
      <c r="G550">
        <v>9</v>
      </c>
      <c r="H550">
        <v>11</v>
      </c>
      <c r="I550">
        <v>11</v>
      </c>
      <c r="J550">
        <v>9.6727019498607234</v>
      </c>
      <c r="K550">
        <v>10.92990623349181</v>
      </c>
      <c r="L550">
        <v>10.34677293327082</v>
      </c>
      <c r="M550">
        <f t="shared" si="8"/>
        <v>10.316460372207784</v>
      </c>
    </row>
    <row r="551" spans="1:13" x14ac:dyDescent="0.3">
      <c r="A551" t="s">
        <v>558</v>
      </c>
      <c r="B551" t="s">
        <v>1087</v>
      </c>
      <c r="C551">
        <v>102.3</v>
      </c>
      <c r="D551">
        <v>2378234.9375</v>
      </c>
      <c r="E551">
        <v>853939.625</v>
      </c>
      <c r="F551">
        <v>2597956.5</v>
      </c>
      <c r="G551">
        <v>4</v>
      </c>
      <c r="H551">
        <v>2</v>
      </c>
      <c r="I551">
        <v>4</v>
      </c>
      <c r="J551">
        <v>4.2989786443825437</v>
      </c>
      <c r="K551">
        <v>1.9872556788166931</v>
      </c>
      <c r="L551">
        <v>3.7624628848257542</v>
      </c>
      <c r="M551">
        <f t="shared" si="8"/>
        <v>3.34956573600833</v>
      </c>
    </row>
    <row r="552" spans="1:13" x14ac:dyDescent="0.3">
      <c r="A552" t="s">
        <v>559</v>
      </c>
      <c r="B552" t="s">
        <v>1088</v>
      </c>
      <c r="C552">
        <v>93.8</v>
      </c>
      <c r="D552">
        <v>39394212.8828125</v>
      </c>
      <c r="E552">
        <v>42614089.3125</v>
      </c>
      <c r="F552">
        <v>49534655.5625</v>
      </c>
      <c r="G552">
        <v>36</v>
      </c>
      <c r="H552">
        <v>36</v>
      </c>
      <c r="I552">
        <v>38</v>
      </c>
      <c r="J552">
        <v>38.690807799442887</v>
      </c>
      <c r="K552">
        <v>35.770602218700468</v>
      </c>
      <c r="L552">
        <v>35.743397405844661</v>
      </c>
      <c r="M552">
        <f t="shared" si="8"/>
        <v>36.734935807996003</v>
      </c>
    </row>
    <row r="553" spans="1:13" x14ac:dyDescent="0.3">
      <c r="A553" t="s">
        <v>560</v>
      </c>
      <c r="B553" t="s">
        <v>1089</v>
      </c>
      <c r="C553">
        <v>28.8</v>
      </c>
      <c r="D553">
        <v>5608007.125</v>
      </c>
      <c r="E553">
        <v>5318070.75</v>
      </c>
      <c r="F553">
        <v>5458815.25</v>
      </c>
      <c r="G553">
        <v>4</v>
      </c>
      <c r="H553">
        <v>4</v>
      </c>
      <c r="I553">
        <v>4</v>
      </c>
      <c r="J553">
        <v>4.2989786443825437</v>
      </c>
      <c r="K553">
        <v>3.9745113576333861</v>
      </c>
      <c r="L553">
        <v>3.7624628848257542</v>
      </c>
      <c r="M553">
        <f t="shared" si="8"/>
        <v>4.0119842956138951</v>
      </c>
    </row>
    <row r="554" spans="1:13" x14ac:dyDescent="0.3">
      <c r="A554" t="s">
        <v>561</v>
      </c>
      <c r="B554" t="s">
        <v>1090</v>
      </c>
      <c r="C554">
        <v>44</v>
      </c>
      <c r="D554">
        <v>12733762.447265601</v>
      </c>
      <c r="E554">
        <v>17638729.1875</v>
      </c>
      <c r="F554">
        <v>21589685.15625</v>
      </c>
      <c r="G554">
        <v>24</v>
      </c>
      <c r="H554">
        <v>24</v>
      </c>
      <c r="I554">
        <v>23</v>
      </c>
      <c r="J554">
        <v>25.79387186629527</v>
      </c>
      <c r="K554">
        <v>23.847068145800321</v>
      </c>
      <c r="L554">
        <v>21.634161587748078</v>
      </c>
      <c r="M554">
        <f t="shared" si="8"/>
        <v>23.758367199947887</v>
      </c>
    </row>
    <row r="555" spans="1:13" x14ac:dyDescent="0.3">
      <c r="A555" t="s">
        <v>562</v>
      </c>
      <c r="B555" t="s">
        <v>1091</v>
      </c>
      <c r="C555">
        <v>27.6</v>
      </c>
      <c r="D555">
        <v>21817241.375</v>
      </c>
      <c r="E555">
        <v>19718200.75</v>
      </c>
      <c r="F555">
        <v>19440180.0625</v>
      </c>
      <c r="G555">
        <v>19</v>
      </c>
      <c r="H555">
        <v>15</v>
      </c>
      <c r="I555">
        <v>19</v>
      </c>
      <c r="J555">
        <v>20.420148560817079</v>
      </c>
      <c r="K555">
        <v>14.904417591125201</v>
      </c>
      <c r="L555">
        <v>17.87169870292233</v>
      </c>
      <c r="M555">
        <f t="shared" si="8"/>
        <v>17.73208828495487</v>
      </c>
    </row>
    <row r="556" spans="1:13" x14ac:dyDescent="0.3">
      <c r="A556" t="s">
        <v>563</v>
      </c>
      <c r="B556" t="s">
        <v>1092</v>
      </c>
      <c r="C556">
        <v>33.1</v>
      </c>
      <c r="D556">
        <v>200157048</v>
      </c>
      <c r="E556">
        <v>143750328</v>
      </c>
      <c r="F556">
        <v>226071893.75</v>
      </c>
      <c r="G556">
        <v>105</v>
      </c>
      <c r="H556">
        <v>130</v>
      </c>
      <c r="I556">
        <v>137</v>
      </c>
      <c r="J556">
        <v>112.8481894150418</v>
      </c>
      <c r="K556">
        <v>129.17161912308501</v>
      </c>
      <c r="L556">
        <v>128.86435380528209</v>
      </c>
      <c r="M556">
        <f t="shared" si="8"/>
        <v>123.62805411446963</v>
      </c>
    </row>
    <row r="557" spans="1:13" x14ac:dyDescent="0.3">
      <c r="A557" t="s">
        <v>564</v>
      </c>
      <c r="B557" t="s">
        <v>1093</v>
      </c>
      <c r="C557">
        <v>61.2</v>
      </c>
      <c r="D557">
        <v>3362632</v>
      </c>
      <c r="E557">
        <v>3333817</v>
      </c>
      <c r="F557">
        <v>4470647</v>
      </c>
      <c r="G557">
        <v>8</v>
      </c>
      <c r="H557">
        <v>6</v>
      </c>
      <c r="I557">
        <v>7</v>
      </c>
      <c r="J557">
        <v>8.5979572887650875</v>
      </c>
      <c r="K557">
        <v>5.9617670364500794</v>
      </c>
      <c r="L557">
        <v>6.5843100484450696</v>
      </c>
      <c r="M557">
        <f t="shared" si="8"/>
        <v>7.0480114578867452</v>
      </c>
    </row>
    <row r="558" spans="1:13" x14ac:dyDescent="0.3">
      <c r="A558" t="s">
        <v>565</v>
      </c>
      <c r="B558" t="s">
        <v>1094</v>
      </c>
      <c r="C558">
        <v>11.5</v>
      </c>
      <c r="D558">
        <v>0</v>
      </c>
      <c r="E558">
        <v>6203836.1875</v>
      </c>
      <c r="F558">
        <v>2213838.0625</v>
      </c>
      <c r="H558">
        <v>5</v>
      </c>
      <c r="I558">
        <v>2</v>
      </c>
      <c r="J558" t="s">
        <v>1184</v>
      </c>
      <c r="K558">
        <v>4.968139197041733</v>
      </c>
      <c r="L558">
        <v>1.8812314424128771</v>
      </c>
      <c r="M558">
        <f t="shared" si="8"/>
        <v>3.4246853197273053</v>
      </c>
    </row>
    <row r="559" spans="1:13" x14ac:dyDescent="0.3">
      <c r="A559" t="s">
        <v>566</v>
      </c>
      <c r="B559" t="s">
        <v>1095</v>
      </c>
      <c r="C559">
        <v>44.7</v>
      </c>
      <c r="D559">
        <v>0</v>
      </c>
      <c r="E559">
        <v>135433.96875</v>
      </c>
      <c r="F559">
        <v>0</v>
      </c>
      <c r="H559">
        <v>3</v>
      </c>
      <c r="I559">
        <v>3</v>
      </c>
      <c r="J559" t="s">
        <v>1184</v>
      </c>
      <c r="K559">
        <v>2.9808835182250402</v>
      </c>
      <c r="L559">
        <v>2.821847163619315</v>
      </c>
      <c r="M559">
        <f t="shared" si="8"/>
        <v>2.9013653409221778</v>
      </c>
    </row>
    <row r="560" spans="1:13" x14ac:dyDescent="0.3">
      <c r="A560" t="s">
        <v>567</v>
      </c>
      <c r="B560" t="s">
        <v>1096</v>
      </c>
      <c r="C560">
        <v>33.9</v>
      </c>
      <c r="D560">
        <v>0</v>
      </c>
      <c r="E560">
        <v>2647851.25</v>
      </c>
      <c r="F560">
        <v>0</v>
      </c>
      <c r="H560">
        <v>7</v>
      </c>
      <c r="J560" t="s">
        <v>1184</v>
      </c>
      <c r="K560">
        <v>6.9553948758584259</v>
      </c>
      <c r="L560" t="s">
        <v>1184</v>
      </c>
      <c r="M560">
        <f t="shared" si="8"/>
        <v>6.9553948758584259</v>
      </c>
    </row>
    <row r="561" spans="1:13" x14ac:dyDescent="0.3">
      <c r="A561" t="s">
        <v>568</v>
      </c>
      <c r="B561" t="s">
        <v>1097</v>
      </c>
      <c r="C561">
        <v>27.5</v>
      </c>
      <c r="D561">
        <v>0</v>
      </c>
      <c r="E561">
        <v>894276.40625</v>
      </c>
      <c r="F561">
        <v>1255323.375</v>
      </c>
      <c r="H561">
        <v>17</v>
      </c>
      <c r="I561">
        <v>17</v>
      </c>
      <c r="J561" t="s">
        <v>1184</v>
      </c>
      <c r="K561">
        <v>16.89167326994189</v>
      </c>
      <c r="L561">
        <v>15.990467260509449</v>
      </c>
      <c r="M561">
        <f t="shared" si="8"/>
        <v>16.441070265225669</v>
      </c>
    </row>
    <row r="562" spans="1:13" x14ac:dyDescent="0.3">
      <c r="A562" t="s">
        <v>569</v>
      </c>
      <c r="B562" t="s">
        <v>1098</v>
      </c>
      <c r="C562">
        <v>37.200000000000003</v>
      </c>
      <c r="D562">
        <v>0</v>
      </c>
      <c r="E562">
        <v>3271199.0625</v>
      </c>
      <c r="F562">
        <v>4490686.125</v>
      </c>
      <c r="H562">
        <v>3</v>
      </c>
      <c r="I562">
        <v>4</v>
      </c>
      <c r="J562" t="s">
        <v>1184</v>
      </c>
      <c r="K562">
        <v>2.9808835182250402</v>
      </c>
      <c r="L562">
        <v>3.7624628848257542</v>
      </c>
      <c r="M562">
        <f t="shared" si="8"/>
        <v>3.3716732015253972</v>
      </c>
    </row>
    <row r="563" spans="1:13" x14ac:dyDescent="0.3">
      <c r="A563" t="s">
        <v>570</v>
      </c>
      <c r="B563" t="s">
        <v>1099</v>
      </c>
      <c r="C563">
        <v>29.7</v>
      </c>
      <c r="D563">
        <v>0</v>
      </c>
      <c r="E563">
        <v>410253.203125</v>
      </c>
      <c r="F563">
        <v>0</v>
      </c>
      <c r="H563">
        <v>2</v>
      </c>
      <c r="J563" t="s">
        <v>1184</v>
      </c>
      <c r="K563">
        <v>1.9872556788166931</v>
      </c>
      <c r="L563" t="s">
        <v>1184</v>
      </c>
      <c r="M563">
        <f t="shared" si="8"/>
        <v>1.9872556788166931</v>
      </c>
    </row>
    <row r="564" spans="1:13" x14ac:dyDescent="0.3">
      <c r="A564" t="s">
        <v>571</v>
      </c>
      <c r="B564" t="s">
        <v>1100</v>
      </c>
      <c r="C564">
        <v>18.899999999999999</v>
      </c>
      <c r="D564">
        <v>0</v>
      </c>
      <c r="E564">
        <v>932959.5</v>
      </c>
      <c r="F564">
        <v>900804.9375</v>
      </c>
      <c r="H564">
        <v>10</v>
      </c>
      <c r="I564">
        <v>13</v>
      </c>
      <c r="J564" t="s">
        <v>1184</v>
      </c>
      <c r="K564">
        <v>9.936278394083466</v>
      </c>
      <c r="L564">
        <v>12.2280043756837</v>
      </c>
      <c r="M564">
        <f t="shared" si="8"/>
        <v>11.082141384883583</v>
      </c>
    </row>
    <row r="565" spans="1:13" x14ac:dyDescent="0.3">
      <c r="A565" t="s">
        <v>572</v>
      </c>
      <c r="B565" t="s">
        <v>1101</v>
      </c>
      <c r="C565">
        <v>16.8</v>
      </c>
      <c r="D565">
        <v>0</v>
      </c>
      <c r="E565">
        <v>9252370.375</v>
      </c>
      <c r="F565">
        <v>0</v>
      </c>
      <c r="H565">
        <v>6</v>
      </c>
      <c r="J565" t="s">
        <v>1184</v>
      </c>
      <c r="K565">
        <v>5.9617670364500794</v>
      </c>
      <c r="L565" t="s">
        <v>1184</v>
      </c>
      <c r="M565">
        <f t="shared" si="8"/>
        <v>5.9617670364500794</v>
      </c>
    </row>
    <row r="566" spans="1:13" x14ac:dyDescent="0.3">
      <c r="A566" t="s">
        <v>573</v>
      </c>
      <c r="B566" t="s">
        <v>1102</v>
      </c>
      <c r="C566">
        <v>40.6</v>
      </c>
      <c r="D566">
        <v>0</v>
      </c>
      <c r="E566">
        <v>0</v>
      </c>
      <c r="F566">
        <v>366265.03125</v>
      </c>
      <c r="H566">
        <v>2</v>
      </c>
      <c r="I566">
        <v>2</v>
      </c>
      <c r="J566" t="s">
        <v>1184</v>
      </c>
      <c r="K566">
        <v>1.9872556788166931</v>
      </c>
      <c r="L566">
        <v>1.8812314424128771</v>
      </c>
      <c r="M566">
        <f t="shared" si="8"/>
        <v>1.9342435606147852</v>
      </c>
    </row>
    <row r="567" spans="1:13" x14ac:dyDescent="0.3">
      <c r="A567" t="s">
        <v>574</v>
      </c>
      <c r="B567" t="s">
        <v>1103</v>
      </c>
      <c r="C567">
        <v>12.2</v>
      </c>
      <c r="D567">
        <v>0</v>
      </c>
      <c r="E567">
        <v>626377.6875</v>
      </c>
      <c r="F567">
        <v>828921.25</v>
      </c>
      <c r="H567">
        <v>2</v>
      </c>
      <c r="I567">
        <v>2</v>
      </c>
      <c r="J567" t="s">
        <v>1184</v>
      </c>
      <c r="K567">
        <v>1.9872556788166931</v>
      </c>
      <c r="L567">
        <v>1.8812314424128771</v>
      </c>
      <c r="M567">
        <f t="shared" si="8"/>
        <v>1.9342435606147852</v>
      </c>
    </row>
    <row r="568" spans="1:13" x14ac:dyDescent="0.3">
      <c r="A568" t="s">
        <v>575</v>
      </c>
      <c r="B568" t="s">
        <v>1104</v>
      </c>
      <c r="C568">
        <v>12.1</v>
      </c>
      <c r="D568">
        <v>0</v>
      </c>
      <c r="E568">
        <v>24060970.5</v>
      </c>
      <c r="F568">
        <v>30265174</v>
      </c>
      <c r="H568">
        <v>4</v>
      </c>
      <c r="I568">
        <v>4</v>
      </c>
      <c r="J568" t="s">
        <v>1184</v>
      </c>
      <c r="K568">
        <v>3.9745113576333861</v>
      </c>
      <c r="L568">
        <v>3.7624628848257542</v>
      </c>
      <c r="M568">
        <f t="shared" si="8"/>
        <v>3.8684871212295704</v>
      </c>
    </row>
    <row r="569" spans="1:13" x14ac:dyDescent="0.3">
      <c r="A569" t="s">
        <v>576</v>
      </c>
      <c r="B569" t="s">
        <v>723</v>
      </c>
      <c r="C569">
        <v>99.4</v>
      </c>
      <c r="D569">
        <v>0</v>
      </c>
      <c r="E569">
        <v>586635.75</v>
      </c>
      <c r="F569">
        <v>0</v>
      </c>
      <c r="H569">
        <v>18</v>
      </c>
      <c r="J569" t="s">
        <v>1184</v>
      </c>
      <c r="K569">
        <v>17.885301109350241</v>
      </c>
      <c r="L569" t="s">
        <v>1184</v>
      </c>
      <c r="M569">
        <f t="shared" si="8"/>
        <v>17.885301109350241</v>
      </c>
    </row>
    <row r="570" spans="1:13" x14ac:dyDescent="0.3">
      <c r="A570" t="s">
        <v>577</v>
      </c>
      <c r="B570" t="s">
        <v>1105</v>
      </c>
      <c r="C570">
        <v>18</v>
      </c>
      <c r="D570">
        <v>0</v>
      </c>
      <c r="E570">
        <v>6741267.1875</v>
      </c>
      <c r="F570">
        <v>6153626.1875</v>
      </c>
      <c r="H570">
        <v>4</v>
      </c>
      <c r="I570">
        <v>3</v>
      </c>
      <c r="J570" t="s">
        <v>1184</v>
      </c>
      <c r="K570">
        <v>3.9745113576333861</v>
      </c>
      <c r="L570">
        <v>2.821847163619315</v>
      </c>
      <c r="M570">
        <f t="shared" si="8"/>
        <v>3.3981792606263506</v>
      </c>
    </row>
    <row r="571" spans="1:13" x14ac:dyDescent="0.3">
      <c r="A571" t="s">
        <v>578</v>
      </c>
      <c r="B571" t="s">
        <v>1106</v>
      </c>
      <c r="C571">
        <v>24.1</v>
      </c>
      <c r="D571">
        <v>0</v>
      </c>
      <c r="E571">
        <v>829119.1875</v>
      </c>
      <c r="F571">
        <v>0</v>
      </c>
      <c r="H571">
        <v>5</v>
      </c>
      <c r="J571" t="s">
        <v>1184</v>
      </c>
      <c r="K571">
        <v>4.968139197041733</v>
      </c>
      <c r="L571" t="s">
        <v>1184</v>
      </c>
      <c r="M571">
        <f t="shared" si="8"/>
        <v>4.968139197041733</v>
      </c>
    </row>
    <row r="572" spans="1:13" x14ac:dyDescent="0.3">
      <c r="A572" t="s">
        <v>579</v>
      </c>
      <c r="B572" t="s">
        <v>1107</v>
      </c>
      <c r="C572">
        <v>17</v>
      </c>
      <c r="D572">
        <v>0</v>
      </c>
      <c r="E572">
        <v>4013774.125</v>
      </c>
      <c r="F572">
        <v>0</v>
      </c>
      <c r="H572">
        <v>3</v>
      </c>
      <c r="J572" t="s">
        <v>1184</v>
      </c>
      <c r="K572">
        <v>2.9808835182250402</v>
      </c>
      <c r="L572" t="s">
        <v>1184</v>
      </c>
      <c r="M572">
        <f t="shared" si="8"/>
        <v>2.9808835182250402</v>
      </c>
    </row>
    <row r="573" spans="1:13" x14ac:dyDescent="0.3">
      <c r="A573" t="s">
        <v>580</v>
      </c>
      <c r="B573" t="s">
        <v>1108</v>
      </c>
      <c r="C573">
        <v>76.099999999999994</v>
      </c>
      <c r="D573">
        <v>0</v>
      </c>
      <c r="E573">
        <v>3159911.375</v>
      </c>
      <c r="F573">
        <v>0</v>
      </c>
      <c r="H573">
        <v>3</v>
      </c>
      <c r="J573" t="s">
        <v>1184</v>
      </c>
      <c r="K573">
        <v>2.9808835182250402</v>
      </c>
      <c r="L573" t="s">
        <v>1184</v>
      </c>
      <c r="M573">
        <f t="shared" si="8"/>
        <v>2.9808835182250402</v>
      </c>
    </row>
    <row r="574" spans="1:13" x14ac:dyDescent="0.3">
      <c r="A574" t="s">
        <v>581</v>
      </c>
      <c r="B574" t="s">
        <v>1109</v>
      </c>
      <c r="C574">
        <v>16.2</v>
      </c>
      <c r="D574">
        <v>0</v>
      </c>
      <c r="E574">
        <v>6347800.875</v>
      </c>
      <c r="F574">
        <v>0</v>
      </c>
      <c r="H574">
        <v>5</v>
      </c>
      <c r="J574" t="s">
        <v>1184</v>
      </c>
      <c r="K574">
        <v>4.968139197041733</v>
      </c>
      <c r="L574" t="s">
        <v>1184</v>
      </c>
      <c r="M574">
        <f t="shared" si="8"/>
        <v>4.968139197041733</v>
      </c>
    </row>
    <row r="575" spans="1:13" x14ac:dyDescent="0.3">
      <c r="A575" t="s">
        <v>582</v>
      </c>
      <c r="B575" t="s">
        <v>1110</v>
      </c>
      <c r="C575">
        <v>60.6</v>
      </c>
      <c r="D575">
        <v>0</v>
      </c>
      <c r="E575">
        <v>6831059.625</v>
      </c>
      <c r="F575">
        <v>0</v>
      </c>
      <c r="H575">
        <v>5</v>
      </c>
      <c r="J575" t="s">
        <v>1184</v>
      </c>
      <c r="K575">
        <v>4.968139197041733</v>
      </c>
      <c r="L575" t="s">
        <v>1184</v>
      </c>
      <c r="M575">
        <f t="shared" si="8"/>
        <v>4.968139197041733</v>
      </c>
    </row>
    <row r="576" spans="1:13" x14ac:dyDescent="0.3">
      <c r="A576" t="s">
        <v>583</v>
      </c>
      <c r="B576" t="s">
        <v>1111</v>
      </c>
      <c r="C576">
        <v>115.8</v>
      </c>
      <c r="D576">
        <v>0</v>
      </c>
      <c r="E576">
        <v>4610340.3125</v>
      </c>
      <c r="F576">
        <v>0</v>
      </c>
      <c r="H576">
        <v>7</v>
      </c>
      <c r="J576" t="s">
        <v>1184</v>
      </c>
      <c r="K576">
        <v>6.9553948758584259</v>
      </c>
      <c r="L576" t="s">
        <v>1184</v>
      </c>
      <c r="M576">
        <f t="shared" si="8"/>
        <v>6.9553948758584259</v>
      </c>
    </row>
    <row r="577" spans="1:13" x14ac:dyDescent="0.3">
      <c r="A577" t="s">
        <v>584</v>
      </c>
      <c r="B577" t="s">
        <v>1112</v>
      </c>
      <c r="C577">
        <v>22.5</v>
      </c>
      <c r="D577">
        <v>0</v>
      </c>
      <c r="E577">
        <v>932189.3125</v>
      </c>
      <c r="F577">
        <v>0</v>
      </c>
      <c r="H577">
        <v>7</v>
      </c>
      <c r="J577" t="s">
        <v>1184</v>
      </c>
      <c r="K577">
        <v>6.9553948758584259</v>
      </c>
      <c r="L577" t="s">
        <v>1184</v>
      </c>
      <c r="M577">
        <f t="shared" si="8"/>
        <v>6.9553948758584259</v>
      </c>
    </row>
    <row r="578" spans="1:13" x14ac:dyDescent="0.3">
      <c r="A578" t="s">
        <v>585</v>
      </c>
      <c r="B578" t="s">
        <v>1113</v>
      </c>
      <c r="C578">
        <v>17.899999999999999</v>
      </c>
      <c r="D578">
        <v>0</v>
      </c>
      <c r="E578">
        <v>1815419.5</v>
      </c>
      <c r="F578">
        <v>1868799.4375</v>
      </c>
      <c r="H578">
        <v>3</v>
      </c>
      <c r="I578">
        <v>3</v>
      </c>
      <c r="J578" t="s">
        <v>1184</v>
      </c>
      <c r="K578">
        <v>2.9808835182250402</v>
      </c>
      <c r="L578">
        <v>2.821847163619315</v>
      </c>
      <c r="M578">
        <f t="shared" si="8"/>
        <v>2.9013653409221778</v>
      </c>
    </row>
    <row r="579" spans="1:13" x14ac:dyDescent="0.3">
      <c r="A579" t="s">
        <v>586</v>
      </c>
      <c r="B579" t="s">
        <v>1114</v>
      </c>
      <c r="C579">
        <v>31</v>
      </c>
      <c r="D579">
        <v>0</v>
      </c>
      <c r="E579">
        <v>0</v>
      </c>
      <c r="F579">
        <v>0</v>
      </c>
      <c r="H579">
        <v>4</v>
      </c>
      <c r="J579" t="s">
        <v>1184</v>
      </c>
      <c r="K579">
        <v>3.9745113576333861</v>
      </c>
      <c r="L579" t="s">
        <v>1184</v>
      </c>
      <c r="M579">
        <f t="shared" si="8"/>
        <v>3.9745113576333861</v>
      </c>
    </row>
    <row r="580" spans="1:13" x14ac:dyDescent="0.3">
      <c r="A580" t="s">
        <v>587</v>
      </c>
      <c r="B580" t="s">
        <v>1115</v>
      </c>
      <c r="C580">
        <v>51.6</v>
      </c>
      <c r="D580">
        <v>0</v>
      </c>
      <c r="E580">
        <v>3381926.75</v>
      </c>
      <c r="F580">
        <v>5421539.875</v>
      </c>
      <c r="H580">
        <v>4</v>
      </c>
      <c r="I580">
        <v>4</v>
      </c>
      <c r="J580" t="s">
        <v>1184</v>
      </c>
      <c r="K580">
        <v>3.9745113576333861</v>
      </c>
      <c r="L580">
        <v>3.7624628848257542</v>
      </c>
      <c r="M580">
        <f t="shared" ref="M580:M643" si="9">AVERAGE(J580:L580)</f>
        <v>3.8684871212295704</v>
      </c>
    </row>
    <row r="581" spans="1:13" x14ac:dyDescent="0.3">
      <c r="A581" t="s">
        <v>588</v>
      </c>
      <c r="B581" t="s">
        <v>1116</v>
      </c>
      <c r="C581">
        <v>49.8</v>
      </c>
      <c r="D581">
        <v>0</v>
      </c>
      <c r="E581">
        <v>182161.8125</v>
      </c>
      <c r="F581">
        <v>0</v>
      </c>
      <c r="H581">
        <v>2</v>
      </c>
      <c r="J581" t="s">
        <v>1184</v>
      </c>
      <c r="K581">
        <v>1.9872556788166931</v>
      </c>
      <c r="L581" t="s">
        <v>1184</v>
      </c>
      <c r="M581">
        <f t="shared" si="9"/>
        <v>1.9872556788166931</v>
      </c>
    </row>
    <row r="582" spans="1:13" x14ac:dyDescent="0.3">
      <c r="A582" t="s">
        <v>589</v>
      </c>
      <c r="B582" t="s">
        <v>1117</v>
      </c>
      <c r="C582">
        <v>43.5</v>
      </c>
      <c r="D582">
        <v>0</v>
      </c>
      <c r="E582">
        <v>1322932.125</v>
      </c>
      <c r="F582">
        <v>1711469.625</v>
      </c>
      <c r="H582">
        <v>2</v>
      </c>
      <c r="I582">
        <v>3</v>
      </c>
      <c r="J582" t="s">
        <v>1184</v>
      </c>
      <c r="K582">
        <v>1.9872556788166931</v>
      </c>
      <c r="L582">
        <v>2.821847163619315</v>
      </c>
      <c r="M582">
        <f t="shared" si="9"/>
        <v>2.4045514212180041</v>
      </c>
    </row>
    <row r="583" spans="1:13" x14ac:dyDescent="0.3">
      <c r="A583" t="s">
        <v>590</v>
      </c>
      <c r="B583" t="s">
        <v>685</v>
      </c>
      <c r="C583">
        <v>55.3</v>
      </c>
      <c r="D583">
        <v>0</v>
      </c>
      <c r="E583">
        <v>1218066.5625</v>
      </c>
      <c r="F583">
        <v>1371573</v>
      </c>
      <c r="H583">
        <v>2</v>
      </c>
      <c r="I583">
        <v>2</v>
      </c>
      <c r="J583" t="s">
        <v>1184</v>
      </c>
      <c r="K583">
        <v>1.9872556788166931</v>
      </c>
      <c r="L583">
        <v>1.8812314424128771</v>
      </c>
      <c r="M583">
        <f t="shared" si="9"/>
        <v>1.9342435606147852</v>
      </c>
    </row>
    <row r="584" spans="1:13" x14ac:dyDescent="0.3">
      <c r="A584" t="s">
        <v>591</v>
      </c>
      <c r="B584" t="s">
        <v>685</v>
      </c>
      <c r="C584">
        <v>23</v>
      </c>
      <c r="D584">
        <v>0</v>
      </c>
      <c r="E584">
        <v>1942327.375</v>
      </c>
      <c r="F584">
        <v>1801580</v>
      </c>
      <c r="H584">
        <v>4</v>
      </c>
      <c r="I584">
        <v>2</v>
      </c>
      <c r="J584" t="s">
        <v>1184</v>
      </c>
      <c r="K584">
        <v>3.9745113576333861</v>
      </c>
      <c r="L584">
        <v>1.8812314424128771</v>
      </c>
      <c r="M584">
        <f t="shared" si="9"/>
        <v>2.9278714000231316</v>
      </c>
    </row>
    <row r="585" spans="1:13" x14ac:dyDescent="0.3">
      <c r="A585" t="s">
        <v>592</v>
      </c>
      <c r="B585" t="s">
        <v>685</v>
      </c>
      <c r="C585">
        <v>18.3</v>
      </c>
      <c r="D585">
        <v>0</v>
      </c>
      <c r="E585">
        <v>3373647.5</v>
      </c>
      <c r="F585">
        <v>0</v>
      </c>
      <c r="H585">
        <v>3</v>
      </c>
      <c r="J585" t="s">
        <v>1184</v>
      </c>
      <c r="K585">
        <v>2.9808835182250402</v>
      </c>
      <c r="L585" t="s">
        <v>1184</v>
      </c>
      <c r="M585">
        <f t="shared" si="9"/>
        <v>2.9808835182250402</v>
      </c>
    </row>
    <row r="586" spans="1:13" x14ac:dyDescent="0.3">
      <c r="A586" t="s">
        <v>593</v>
      </c>
      <c r="B586" t="s">
        <v>1118</v>
      </c>
      <c r="C586">
        <v>28.9</v>
      </c>
      <c r="D586">
        <v>0</v>
      </c>
      <c r="E586">
        <v>2837949.34375</v>
      </c>
      <c r="F586">
        <v>2042590.25</v>
      </c>
      <c r="H586">
        <v>8</v>
      </c>
      <c r="I586">
        <v>4</v>
      </c>
      <c r="J586" t="s">
        <v>1184</v>
      </c>
      <c r="K586">
        <v>7.9490227152667723</v>
      </c>
      <c r="L586">
        <v>3.7624628848257542</v>
      </c>
      <c r="M586">
        <f t="shared" si="9"/>
        <v>5.8557428000462632</v>
      </c>
    </row>
    <row r="587" spans="1:13" x14ac:dyDescent="0.3">
      <c r="A587" t="s">
        <v>594</v>
      </c>
      <c r="B587" t="s">
        <v>1119</v>
      </c>
      <c r="C587">
        <v>21.2</v>
      </c>
      <c r="D587">
        <v>0</v>
      </c>
      <c r="E587">
        <v>736099.125</v>
      </c>
      <c r="F587">
        <v>809901.125</v>
      </c>
      <c r="H587">
        <v>6</v>
      </c>
      <c r="I587">
        <v>6</v>
      </c>
      <c r="J587" t="s">
        <v>1184</v>
      </c>
      <c r="K587">
        <v>5.9617670364500794</v>
      </c>
      <c r="L587">
        <v>5.6436943272386308</v>
      </c>
      <c r="M587">
        <f t="shared" si="9"/>
        <v>5.8027306818443556</v>
      </c>
    </row>
    <row r="588" spans="1:13" x14ac:dyDescent="0.3">
      <c r="A588" t="s">
        <v>595</v>
      </c>
      <c r="B588" t="s">
        <v>1120</v>
      </c>
      <c r="C588">
        <v>25.4</v>
      </c>
      <c r="D588">
        <v>0</v>
      </c>
      <c r="E588">
        <v>23659524</v>
      </c>
      <c r="F588">
        <v>21809922</v>
      </c>
      <c r="H588">
        <v>11</v>
      </c>
      <c r="I588">
        <v>12</v>
      </c>
      <c r="J588" t="s">
        <v>1184</v>
      </c>
      <c r="K588">
        <v>10.92990623349181</v>
      </c>
      <c r="L588">
        <v>11.28738865447726</v>
      </c>
      <c r="M588">
        <f t="shared" si="9"/>
        <v>11.108647443984534</v>
      </c>
    </row>
    <row r="589" spans="1:13" x14ac:dyDescent="0.3">
      <c r="A589" t="s">
        <v>596</v>
      </c>
      <c r="B589" t="s">
        <v>1121</v>
      </c>
      <c r="C589">
        <v>27.1</v>
      </c>
      <c r="D589">
        <v>0</v>
      </c>
      <c r="E589">
        <v>7652151.5</v>
      </c>
      <c r="F589">
        <v>8928467.75</v>
      </c>
      <c r="H589">
        <v>13</v>
      </c>
      <c r="I589">
        <v>13</v>
      </c>
      <c r="J589" t="s">
        <v>1184</v>
      </c>
      <c r="K589">
        <v>12.917161912308501</v>
      </c>
      <c r="L589">
        <v>12.2280043756837</v>
      </c>
      <c r="M589">
        <f t="shared" si="9"/>
        <v>12.5725831439961</v>
      </c>
    </row>
    <row r="590" spans="1:13" x14ac:dyDescent="0.3">
      <c r="A590" t="s">
        <v>597</v>
      </c>
      <c r="B590" t="s">
        <v>1122</v>
      </c>
      <c r="C590">
        <v>26.6</v>
      </c>
      <c r="D590">
        <v>0</v>
      </c>
      <c r="E590">
        <v>2541019.625</v>
      </c>
      <c r="F590">
        <v>4446968.375</v>
      </c>
      <c r="H590">
        <v>3</v>
      </c>
      <c r="I590">
        <v>4</v>
      </c>
      <c r="J590" t="s">
        <v>1184</v>
      </c>
      <c r="K590">
        <v>2.9808835182250402</v>
      </c>
      <c r="L590">
        <v>3.7624628848257542</v>
      </c>
      <c r="M590">
        <f t="shared" si="9"/>
        <v>3.3716732015253972</v>
      </c>
    </row>
    <row r="591" spans="1:13" x14ac:dyDescent="0.3">
      <c r="A591" t="s">
        <v>598</v>
      </c>
      <c r="B591" t="s">
        <v>685</v>
      </c>
      <c r="C591">
        <v>15</v>
      </c>
      <c r="D591">
        <v>0</v>
      </c>
      <c r="E591">
        <v>4175115.75</v>
      </c>
      <c r="F591">
        <v>0</v>
      </c>
      <c r="H591">
        <v>2</v>
      </c>
      <c r="J591" t="s">
        <v>1184</v>
      </c>
      <c r="K591">
        <v>1.9872556788166931</v>
      </c>
      <c r="L591" t="s">
        <v>1184</v>
      </c>
      <c r="M591">
        <f t="shared" si="9"/>
        <v>1.9872556788166931</v>
      </c>
    </row>
    <row r="592" spans="1:13" x14ac:dyDescent="0.3">
      <c r="A592" t="s">
        <v>599</v>
      </c>
      <c r="B592" t="s">
        <v>1123</v>
      </c>
      <c r="C592">
        <v>33.6</v>
      </c>
      <c r="D592">
        <v>0</v>
      </c>
      <c r="E592">
        <v>0</v>
      </c>
      <c r="F592">
        <v>0</v>
      </c>
      <c r="H592">
        <v>12</v>
      </c>
      <c r="I592">
        <v>8</v>
      </c>
      <c r="J592" t="s">
        <v>1184</v>
      </c>
      <c r="K592">
        <v>11.923534072900161</v>
      </c>
      <c r="L592">
        <v>7.5249257696515084</v>
      </c>
      <c r="M592">
        <f t="shared" si="9"/>
        <v>9.7242299212758354</v>
      </c>
    </row>
    <row r="593" spans="1:13" x14ac:dyDescent="0.3">
      <c r="A593" t="s">
        <v>600</v>
      </c>
      <c r="B593" t="s">
        <v>1124</v>
      </c>
      <c r="C593">
        <v>52.2</v>
      </c>
      <c r="D593">
        <v>0</v>
      </c>
      <c r="E593">
        <v>0</v>
      </c>
      <c r="F593">
        <v>1687786.625</v>
      </c>
      <c r="H593">
        <v>2</v>
      </c>
      <c r="I593">
        <v>2</v>
      </c>
      <c r="J593" t="s">
        <v>1184</v>
      </c>
      <c r="K593">
        <v>1.9872556788166931</v>
      </c>
      <c r="L593">
        <v>1.8812314424128771</v>
      </c>
      <c r="M593">
        <f t="shared" si="9"/>
        <v>1.9342435606147852</v>
      </c>
    </row>
    <row r="594" spans="1:13" x14ac:dyDescent="0.3">
      <c r="A594" t="s">
        <v>601</v>
      </c>
      <c r="B594" t="s">
        <v>685</v>
      </c>
      <c r="C594">
        <v>14.7</v>
      </c>
      <c r="D594">
        <v>0</v>
      </c>
      <c r="E594">
        <v>9444470</v>
      </c>
      <c r="F594">
        <v>10094972.25</v>
      </c>
      <c r="H594">
        <v>8</v>
      </c>
      <c r="I594">
        <v>7</v>
      </c>
      <c r="J594" t="s">
        <v>1184</v>
      </c>
      <c r="K594">
        <v>7.9490227152667723</v>
      </c>
      <c r="L594">
        <v>6.5843100484450696</v>
      </c>
      <c r="M594">
        <f t="shared" si="9"/>
        <v>7.266666381855921</v>
      </c>
    </row>
    <row r="595" spans="1:13" x14ac:dyDescent="0.3">
      <c r="A595" t="s">
        <v>602</v>
      </c>
      <c r="B595" t="s">
        <v>1125</v>
      </c>
      <c r="C595">
        <v>12.6</v>
      </c>
      <c r="D595">
        <v>0</v>
      </c>
      <c r="E595">
        <v>7291610.875</v>
      </c>
      <c r="F595">
        <v>6518921.125</v>
      </c>
      <c r="H595">
        <v>6</v>
      </c>
      <c r="I595">
        <v>5</v>
      </c>
      <c r="J595" t="s">
        <v>1184</v>
      </c>
      <c r="K595">
        <v>5.9617670364500794</v>
      </c>
      <c r="L595">
        <v>4.7030786060321921</v>
      </c>
      <c r="M595">
        <f t="shared" si="9"/>
        <v>5.3324228212411358</v>
      </c>
    </row>
    <row r="596" spans="1:13" x14ac:dyDescent="0.3">
      <c r="A596" t="s">
        <v>603</v>
      </c>
      <c r="B596" t="s">
        <v>685</v>
      </c>
      <c r="C596">
        <v>16.2</v>
      </c>
      <c r="D596">
        <v>0</v>
      </c>
      <c r="E596">
        <v>11026103.375</v>
      </c>
      <c r="F596">
        <v>0</v>
      </c>
      <c r="H596">
        <v>5</v>
      </c>
      <c r="J596" t="s">
        <v>1184</v>
      </c>
      <c r="K596">
        <v>4.968139197041733</v>
      </c>
      <c r="L596" t="s">
        <v>1184</v>
      </c>
      <c r="M596">
        <f t="shared" si="9"/>
        <v>4.968139197041733</v>
      </c>
    </row>
    <row r="597" spans="1:13" x14ac:dyDescent="0.3">
      <c r="A597" t="s">
        <v>604</v>
      </c>
      <c r="B597" t="s">
        <v>685</v>
      </c>
      <c r="C597">
        <v>104.3</v>
      </c>
      <c r="D597">
        <v>0</v>
      </c>
      <c r="E597">
        <v>1636025.3125</v>
      </c>
      <c r="F597">
        <v>0</v>
      </c>
      <c r="H597">
        <v>8</v>
      </c>
      <c r="J597" t="s">
        <v>1184</v>
      </c>
      <c r="K597">
        <v>7.9490227152667723</v>
      </c>
      <c r="L597" t="s">
        <v>1184</v>
      </c>
      <c r="M597">
        <f t="shared" si="9"/>
        <v>7.9490227152667723</v>
      </c>
    </row>
    <row r="598" spans="1:13" x14ac:dyDescent="0.3">
      <c r="A598" t="s">
        <v>605</v>
      </c>
      <c r="B598" t="s">
        <v>685</v>
      </c>
      <c r="C598">
        <v>34.299999999999997</v>
      </c>
      <c r="D598">
        <v>0</v>
      </c>
      <c r="E598">
        <v>0</v>
      </c>
      <c r="F598">
        <v>0</v>
      </c>
      <c r="H598">
        <v>7</v>
      </c>
      <c r="I598">
        <v>9</v>
      </c>
      <c r="J598" t="s">
        <v>1184</v>
      </c>
      <c r="K598">
        <v>6.9553948758584259</v>
      </c>
      <c r="L598">
        <v>8.4655414908579463</v>
      </c>
      <c r="M598">
        <f t="shared" si="9"/>
        <v>7.7104681833581861</v>
      </c>
    </row>
    <row r="599" spans="1:13" x14ac:dyDescent="0.3">
      <c r="A599" t="s">
        <v>606</v>
      </c>
      <c r="B599" t="s">
        <v>685</v>
      </c>
      <c r="C599">
        <v>27</v>
      </c>
      <c r="D599">
        <v>0</v>
      </c>
      <c r="E599">
        <v>208084.65625</v>
      </c>
      <c r="F599">
        <v>0</v>
      </c>
      <c r="H599">
        <v>18</v>
      </c>
      <c r="J599" t="s">
        <v>1184</v>
      </c>
      <c r="K599">
        <v>17.885301109350241</v>
      </c>
      <c r="L599" t="s">
        <v>1184</v>
      </c>
      <c r="M599">
        <f t="shared" si="9"/>
        <v>17.885301109350241</v>
      </c>
    </row>
    <row r="600" spans="1:13" x14ac:dyDescent="0.3">
      <c r="A600" t="s">
        <v>607</v>
      </c>
      <c r="B600" t="s">
        <v>685</v>
      </c>
      <c r="C600">
        <v>58.4</v>
      </c>
      <c r="D600">
        <v>0</v>
      </c>
      <c r="E600">
        <v>1911050.125</v>
      </c>
      <c r="F600">
        <v>2907913.5</v>
      </c>
      <c r="H600">
        <v>3</v>
      </c>
      <c r="I600">
        <v>3</v>
      </c>
      <c r="J600" t="s">
        <v>1184</v>
      </c>
      <c r="K600">
        <v>2.9808835182250402</v>
      </c>
      <c r="L600">
        <v>2.821847163619315</v>
      </c>
      <c r="M600">
        <f t="shared" si="9"/>
        <v>2.9013653409221778</v>
      </c>
    </row>
    <row r="601" spans="1:13" x14ac:dyDescent="0.3">
      <c r="A601" t="s">
        <v>608</v>
      </c>
      <c r="B601" t="s">
        <v>1126</v>
      </c>
      <c r="C601">
        <v>37</v>
      </c>
      <c r="D601">
        <v>0</v>
      </c>
      <c r="E601">
        <v>881306.03125</v>
      </c>
      <c r="F601">
        <v>0</v>
      </c>
      <c r="H601">
        <v>2</v>
      </c>
      <c r="J601" t="s">
        <v>1184</v>
      </c>
      <c r="K601">
        <v>1.9872556788166931</v>
      </c>
      <c r="L601" t="s">
        <v>1184</v>
      </c>
      <c r="M601">
        <f t="shared" si="9"/>
        <v>1.9872556788166931</v>
      </c>
    </row>
    <row r="602" spans="1:13" x14ac:dyDescent="0.3">
      <c r="A602" t="s">
        <v>609</v>
      </c>
      <c r="B602" t="s">
        <v>1127</v>
      </c>
      <c r="C602">
        <v>9.8000000000000007</v>
      </c>
      <c r="D602">
        <v>0</v>
      </c>
      <c r="E602">
        <v>773538.6875</v>
      </c>
      <c r="F602">
        <v>0</v>
      </c>
      <c r="H602">
        <v>3</v>
      </c>
      <c r="J602" t="s">
        <v>1184</v>
      </c>
      <c r="K602">
        <v>2.9808835182250402</v>
      </c>
      <c r="L602" t="s">
        <v>1184</v>
      </c>
      <c r="M602">
        <f t="shared" si="9"/>
        <v>2.9808835182250402</v>
      </c>
    </row>
    <row r="603" spans="1:13" x14ac:dyDescent="0.3">
      <c r="A603" t="s">
        <v>610</v>
      </c>
      <c r="B603" t="s">
        <v>685</v>
      </c>
      <c r="C603">
        <v>64.400000000000006</v>
      </c>
      <c r="D603">
        <v>0</v>
      </c>
      <c r="E603">
        <v>3094326.125</v>
      </c>
      <c r="F603">
        <v>1738578.40625</v>
      </c>
      <c r="H603">
        <v>3</v>
      </c>
      <c r="I603">
        <v>3</v>
      </c>
      <c r="J603" t="s">
        <v>1184</v>
      </c>
      <c r="K603">
        <v>2.9808835182250402</v>
      </c>
      <c r="L603">
        <v>2.821847163619315</v>
      </c>
      <c r="M603">
        <f t="shared" si="9"/>
        <v>2.9013653409221778</v>
      </c>
    </row>
    <row r="604" spans="1:13" x14ac:dyDescent="0.3">
      <c r="A604" t="s">
        <v>611</v>
      </c>
      <c r="B604" t="s">
        <v>1128</v>
      </c>
      <c r="C604">
        <v>12.5</v>
      </c>
      <c r="D604">
        <v>0</v>
      </c>
      <c r="E604">
        <v>8104088.5625</v>
      </c>
      <c r="F604">
        <v>0</v>
      </c>
      <c r="H604">
        <v>5</v>
      </c>
      <c r="J604" t="s">
        <v>1184</v>
      </c>
      <c r="K604">
        <v>4.968139197041733</v>
      </c>
      <c r="L604" t="s">
        <v>1184</v>
      </c>
      <c r="M604">
        <f t="shared" si="9"/>
        <v>4.968139197041733</v>
      </c>
    </row>
    <row r="605" spans="1:13" x14ac:dyDescent="0.3">
      <c r="A605" t="s">
        <v>612</v>
      </c>
      <c r="B605" t="s">
        <v>685</v>
      </c>
      <c r="C605">
        <v>15.9</v>
      </c>
      <c r="D605">
        <v>0</v>
      </c>
      <c r="E605">
        <v>885871.28125</v>
      </c>
      <c r="F605">
        <v>0</v>
      </c>
      <c r="H605">
        <v>3</v>
      </c>
      <c r="J605" t="s">
        <v>1184</v>
      </c>
      <c r="K605">
        <v>2.9808835182250402</v>
      </c>
      <c r="L605" t="s">
        <v>1184</v>
      </c>
      <c r="M605">
        <f t="shared" si="9"/>
        <v>2.9808835182250402</v>
      </c>
    </row>
    <row r="606" spans="1:13" x14ac:dyDescent="0.3">
      <c r="A606" t="s">
        <v>613</v>
      </c>
      <c r="B606" t="s">
        <v>1129</v>
      </c>
      <c r="C606">
        <v>67.2</v>
      </c>
      <c r="D606">
        <v>0</v>
      </c>
      <c r="E606">
        <v>4218601.5</v>
      </c>
      <c r="F606">
        <v>0</v>
      </c>
      <c r="H606">
        <v>2</v>
      </c>
      <c r="J606" t="s">
        <v>1184</v>
      </c>
      <c r="K606">
        <v>1.9872556788166931</v>
      </c>
      <c r="L606" t="s">
        <v>1184</v>
      </c>
      <c r="M606">
        <f t="shared" si="9"/>
        <v>1.9872556788166931</v>
      </c>
    </row>
    <row r="607" spans="1:13" x14ac:dyDescent="0.3">
      <c r="A607" t="s">
        <v>614</v>
      </c>
      <c r="B607" t="s">
        <v>1130</v>
      </c>
      <c r="C607">
        <v>24.5</v>
      </c>
      <c r="D607">
        <v>0</v>
      </c>
      <c r="E607">
        <v>2690832.0625</v>
      </c>
      <c r="F607">
        <v>5501507.625</v>
      </c>
      <c r="H607">
        <v>3</v>
      </c>
      <c r="I607">
        <v>6</v>
      </c>
      <c r="J607" t="s">
        <v>1184</v>
      </c>
      <c r="K607">
        <v>2.9808835182250402</v>
      </c>
      <c r="L607">
        <v>5.6436943272386308</v>
      </c>
      <c r="M607">
        <f t="shared" si="9"/>
        <v>4.3122889227318355</v>
      </c>
    </row>
    <row r="608" spans="1:13" x14ac:dyDescent="0.3">
      <c r="A608" t="s">
        <v>615</v>
      </c>
      <c r="B608" t="s">
        <v>1131</v>
      </c>
      <c r="C608">
        <v>36.200000000000003</v>
      </c>
      <c r="D608">
        <v>0</v>
      </c>
      <c r="E608">
        <v>2237273</v>
      </c>
      <c r="F608">
        <v>3073654.875</v>
      </c>
      <c r="H608">
        <v>3</v>
      </c>
      <c r="I608">
        <v>4</v>
      </c>
      <c r="J608" t="s">
        <v>1184</v>
      </c>
      <c r="K608">
        <v>2.9808835182250402</v>
      </c>
      <c r="L608">
        <v>3.7624628848257542</v>
      </c>
      <c r="M608">
        <f t="shared" si="9"/>
        <v>3.3716732015253972</v>
      </c>
    </row>
    <row r="609" spans="1:13" x14ac:dyDescent="0.3">
      <c r="A609" t="s">
        <v>616</v>
      </c>
      <c r="B609" t="s">
        <v>1132</v>
      </c>
      <c r="C609">
        <v>24.2</v>
      </c>
      <c r="D609">
        <v>0</v>
      </c>
      <c r="E609">
        <v>697171.4375</v>
      </c>
      <c r="F609">
        <v>1712581.5</v>
      </c>
      <c r="H609">
        <v>2</v>
      </c>
      <c r="I609">
        <v>4</v>
      </c>
      <c r="J609" t="s">
        <v>1184</v>
      </c>
      <c r="K609">
        <v>1.9872556788166931</v>
      </c>
      <c r="L609">
        <v>3.7624628848257542</v>
      </c>
      <c r="M609">
        <f t="shared" si="9"/>
        <v>2.8748592818212235</v>
      </c>
    </row>
    <row r="610" spans="1:13" x14ac:dyDescent="0.3">
      <c r="A610" t="s">
        <v>617</v>
      </c>
      <c r="B610" t="s">
        <v>1133</v>
      </c>
      <c r="C610">
        <v>49.6</v>
      </c>
      <c r="D610">
        <v>0</v>
      </c>
      <c r="E610">
        <v>555969.75</v>
      </c>
      <c r="F610">
        <v>0</v>
      </c>
      <c r="H610">
        <v>14</v>
      </c>
      <c r="J610" t="s">
        <v>1184</v>
      </c>
      <c r="K610">
        <v>13.91078975171685</v>
      </c>
      <c r="L610" t="s">
        <v>1184</v>
      </c>
      <c r="M610">
        <f t="shared" si="9"/>
        <v>13.91078975171685</v>
      </c>
    </row>
    <row r="611" spans="1:13" x14ac:dyDescent="0.3">
      <c r="A611" t="s">
        <v>618</v>
      </c>
      <c r="B611" t="s">
        <v>1134</v>
      </c>
      <c r="C611">
        <v>80.2</v>
      </c>
      <c r="D611">
        <v>0</v>
      </c>
      <c r="E611">
        <v>0</v>
      </c>
      <c r="F611">
        <v>0</v>
      </c>
      <c r="H611">
        <v>2</v>
      </c>
      <c r="J611" t="s">
        <v>1184</v>
      </c>
      <c r="K611">
        <v>1.9872556788166931</v>
      </c>
      <c r="L611" t="s">
        <v>1184</v>
      </c>
      <c r="M611">
        <f t="shared" si="9"/>
        <v>1.9872556788166931</v>
      </c>
    </row>
    <row r="612" spans="1:13" x14ac:dyDescent="0.3">
      <c r="A612" t="s">
        <v>619</v>
      </c>
      <c r="B612" t="s">
        <v>685</v>
      </c>
      <c r="C612">
        <v>101.7</v>
      </c>
      <c r="D612">
        <v>0</v>
      </c>
      <c r="E612">
        <v>10176386.984375</v>
      </c>
      <c r="F612">
        <v>666995.9375</v>
      </c>
      <c r="H612">
        <v>15</v>
      </c>
      <c r="I612">
        <v>21</v>
      </c>
      <c r="J612" t="s">
        <v>1184</v>
      </c>
      <c r="K612">
        <v>14.904417591125201</v>
      </c>
      <c r="L612">
        <v>19.75293014533521</v>
      </c>
      <c r="M612">
        <f t="shared" si="9"/>
        <v>17.328673868230204</v>
      </c>
    </row>
    <row r="613" spans="1:13" x14ac:dyDescent="0.3">
      <c r="A613" t="s">
        <v>620</v>
      </c>
      <c r="B613" t="s">
        <v>685</v>
      </c>
      <c r="C613">
        <v>17.8</v>
      </c>
      <c r="D613">
        <v>0</v>
      </c>
      <c r="E613">
        <v>1380386</v>
      </c>
      <c r="F613">
        <v>3438360.5</v>
      </c>
      <c r="H613">
        <v>3</v>
      </c>
      <c r="I613">
        <v>5</v>
      </c>
      <c r="J613" t="s">
        <v>1184</v>
      </c>
      <c r="K613">
        <v>2.9808835182250402</v>
      </c>
      <c r="L613">
        <v>4.7030786060321921</v>
      </c>
      <c r="M613">
        <f t="shared" si="9"/>
        <v>3.8419810621286161</v>
      </c>
    </row>
    <row r="614" spans="1:13" x14ac:dyDescent="0.3">
      <c r="A614" t="s">
        <v>621</v>
      </c>
      <c r="B614" t="s">
        <v>1135</v>
      </c>
      <c r="C614">
        <v>18.8</v>
      </c>
      <c r="D614">
        <v>0</v>
      </c>
      <c r="E614">
        <v>2177669.84375</v>
      </c>
      <c r="F614">
        <v>0</v>
      </c>
      <c r="H614">
        <v>3</v>
      </c>
      <c r="J614" t="s">
        <v>1184</v>
      </c>
      <c r="K614">
        <v>2.9808835182250402</v>
      </c>
      <c r="L614" t="s">
        <v>1184</v>
      </c>
      <c r="M614">
        <f t="shared" si="9"/>
        <v>2.9808835182250402</v>
      </c>
    </row>
    <row r="615" spans="1:13" x14ac:dyDescent="0.3">
      <c r="A615" t="s">
        <v>622</v>
      </c>
      <c r="B615" t="s">
        <v>1136</v>
      </c>
      <c r="C615">
        <v>54</v>
      </c>
      <c r="D615">
        <v>0</v>
      </c>
      <c r="E615">
        <v>1770088.03125</v>
      </c>
      <c r="F615">
        <v>1358581.5625</v>
      </c>
      <c r="H615">
        <v>3</v>
      </c>
      <c r="I615">
        <v>3</v>
      </c>
      <c r="J615" t="s">
        <v>1184</v>
      </c>
      <c r="K615">
        <v>2.9808835182250402</v>
      </c>
      <c r="L615">
        <v>2.821847163619315</v>
      </c>
      <c r="M615">
        <f t="shared" si="9"/>
        <v>2.9013653409221778</v>
      </c>
    </row>
    <row r="616" spans="1:13" x14ac:dyDescent="0.3">
      <c r="A616" t="s">
        <v>623</v>
      </c>
      <c r="B616" t="s">
        <v>1137</v>
      </c>
      <c r="C616">
        <v>20.7</v>
      </c>
      <c r="D616">
        <v>0</v>
      </c>
      <c r="E616">
        <v>2992784.5</v>
      </c>
      <c r="F616">
        <v>3620530.75</v>
      </c>
      <c r="H616">
        <v>12</v>
      </c>
      <c r="I616">
        <v>13</v>
      </c>
      <c r="J616" t="s">
        <v>1184</v>
      </c>
      <c r="K616">
        <v>11.923534072900161</v>
      </c>
      <c r="L616">
        <v>12.2280043756837</v>
      </c>
      <c r="M616">
        <f t="shared" si="9"/>
        <v>12.07576922429193</v>
      </c>
    </row>
    <row r="617" spans="1:13" x14ac:dyDescent="0.3">
      <c r="A617" t="s">
        <v>624</v>
      </c>
      <c r="B617" t="s">
        <v>1138</v>
      </c>
      <c r="C617">
        <v>10.3</v>
      </c>
      <c r="D617">
        <v>0</v>
      </c>
      <c r="E617">
        <v>2593678.375</v>
      </c>
      <c r="F617">
        <v>1964125.5625</v>
      </c>
      <c r="H617">
        <v>3</v>
      </c>
      <c r="I617">
        <v>3</v>
      </c>
      <c r="J617" t="s">
        <v>1184</v>
      </c>
      <c r="K617">
        <v>2.9808835182250402</v>
      </c>
      <c r="L617">
        <v>2.821847163619315</v>
      </c>
      <c r="M617">
        <f t="shared" si="9"/>
        <v>2.9013653409221778</v>
      </c>
    </row>
    <row r="618" spans="1:13" x14ac:dyDescent="0.3">
      <c r="A618" t="s">
        <v>625</v>
      </c>
      <c r="B618" t="s">
        <v>1108</v>
      </c>
      <c r="C618">
        <v>26.2</v>
      </c>
      <c r="D618">
        <v>0</v>
      </c>
      <c r="E618">
        <v>1102784.03125</v>
      </c>
      <c r="F618">
        <v>0</v>
      </c>
      <c r="H618">
        <v>2</v>
      </c>
      <c r="J618" t="s">
        <v>1184</v>
      </c>
      <c r="K618">
        <v>1.9872556788166931</v>
      </c>
      <c r="L618" t="s">
        <v>1184</v>
      </c>
      <c r="M618">
        <f t="shared" si="9"/>
        <v>1.9872556788166931</v>
      </c>
    </row>
    <row r="619" spans="1:13" x14ac:dyDescent="0.3">
      <c r="A619" t="s">
        <v>626</v>
      </c>
      <c r="B619" t="s">
        <v>1139</v>
      </c>
      <c r="C619">
        <v>40.200000000000003</v>
      </c>
      <c r="D619">
        <v>0</v>
      </c>
      <c r="E619">
        <v>479121.65625</v>
      </c>
      <c r="F619">
        <v>0</v>
      </c>
      <c r="H619">
        <v>2</v>
      </c>
      <c r="J619" t="s">
        <v>1184</v>
      </c>
      <c r="K619">
        <v>1.9872556788166931</v>
      </c>
      <c r="L619" t="s">
        <v>1184</v>
      </c>
      <c r="M619">
        <f t="shared" si="9"/>
        <v>1.9872556788166931</v>
      </c>
    </row>
    <row r="620" spans="1:13" x14ac:dyDescent="0.3">
      <c r="A620" t="s">
        <v>627</v>
      </c>
      <c r="B620" t="s">
        <v>1140</v>
      </c>
      <c r="C620">
        <v>41.7</v>
      </c>
      <c r="D620">
        <v>0</v>
      </c>
      <c r="E620">
        <v>2387182.5</v>
      </c>
      <c r="F620">
        <v>1744702.375</v>
      </c>
      <c r="H620">
        <v>14</v>
      </c>
      <c r="I620">
        <v>16</v>
      </c>
      <c r="J620" t="s">
        <v>1184</v>
      </c>
      <c r="K620">
        <v>13.91078975171685</v>
      </c>
      <c r="L620">
        <v>15.04985153930302</v>
      </c>
      <c r="M620">
        <f t="shared" si="9"/>
        <v>14.480320645509934</v>
      </c>
    </row>
    <row r="621" spans="1:13" x14ac:dyDescent="0.3">
      <c r="A621" t="s">
        <v>628</v>
      </c>
      <c r="B621" t="s">
        <v>1141</v>
      </c>
      <c r="C621">
        <v>118</v>
      </c>
      <c r="D621">
        <v>0</v>
      </c>
      <c r="E621">
        <v>1423926.875</v>
      </c>
      <c r="F621">
        <v>2647746.6875</v>
      </c>
      <c r="H621">
        <v>5</v>
      </c>
      <c r="I621">
        <v>5</v>
      </c>
      <c r="J621" t="s">
        <v>1184</v>
      </c>
      <c r="K621">
        <v>4.968139197041733</v>
      </c>
      <c r="L621">
        <v>4.7030786060321921</v>
      </c>
      <c r="M621">
        <f t="shared" si="9"/>
        <v>4.835608901536963</v>
      </c>
    </row>
    <row r="622" spans="1:13" x14ac:dyDescent="0.3">
      <c r="A622" t="s">
        <v>629</v>
      </c>
      <c r="B622" t="s">
        <v>1142</v>
      </c>
      <c r="C622">
        <v>98.4</v>
      </c>
      <c r="D622">
        <v>0</v>
      </c>
      <c r="E622">
        <v>657950.6875</v>
      </c>
      <c r="F622">
        <v>0</v>
      </c>
      <c r="H622">
        <v>2</v>
      </c>
      <c r="J622" t="s">
        <v>1184</v>
      </c>
      <c r="K622">
        <v>1.9872556788166931</v>
      </c>
      <c r="L622" t="s">
        <v>1184</v>
      </c>
      <c r="M622">
        <f t="shared" si="9"/>
        <v>1.9872556788166931</v>
      </c>
    </row>
    <row r="623" spans="1:13" x14ac:dyDescent="0.3">
      <c r="A623" t="s">
        <v>630</v>
      </c>
      <c r="B623" t="s">
        <v>1143</v>
      </c>
      <c r="C623">
        <v>28.7</v>
      </c>
      <c r="D623">
        <v>0</v>
      </c>
      <c r="E623">
        <v>7433267.25</v>
      </c>
      <c r="F623">
        <v>11625239.625</v>
      </c>
      <c r="H623">
        <v>4</v>
      </c>
      <c r="I623">
        <v>3</v>
      </c>
      <c r="J623" t="s">
        <v>1184</v>
      </c>
      <c r="K623">
        <v>3.9745113576333861</v>
      </c>
      <c r="L623">
        <v>2.821847163619315</v>
      </c>
      <c r="M623">
        <f t="shared" si="9"/>
        <v>3.3981792606263506</v>
      </c>
    </row>
    <row r="624" spans="1:13" x14ac:dyDescent="0.3">
      <c r="A624" t="s">
        <v>631</v>
      </c>
      <c r="B624" t="s">
        <v>1144</v>
      </c>
      <c r="C624">
        <v>52.2</v>
      </c>
      <c r="D624">
        <v>0</v>
      </c>
      <c r="E624">
        <v>669335.3125</v>
      </c>
      <c r="F624">
        <v>0</v>
      </c>
      <c r="H624">
        <v>2</v>
      </c>
      <c r="J624" t="s">
        <v>1184</v>
      </c>
      <c r="K624">
        <v>1.9872556788166931</v>
      </c>
      <c r="L624" t="s">
        <v>1184</v>
      </c>
      <c r="M624">
        <f t="shared" si="9"/>
        <v>1.9872556788166931</v>
      </c>
    </row>
    <row r="625" spans="1:13" x14ac:dyDescent="0.3">
      <c r="A625" t="s">
        <v>632</v>
      </c>
      <c r="B625" t="s">
        <v>1145</v>
      </c>
      <c r="C625">
        <v>14.3</v>
      </c>
      <c r="D625">
        <v>0</v>
      </c>
      <c r="E625">
        <v>1075673.625</v>
      </c>
      <c r="F625">
        <v>0</v>
      </c>
      <c r="H625">
        <v>4</v>
      </c>
      <c r="J625" t="s">
        <v>1184</v>
      </c>
      <c r="K625">
        <v>3.9745113576333861</v>
      </c>
      <c r="L625" t="s">
        <v>1184</v>
      </c>
      <c r="M625">
        <f t="shared" si="9"/>
        <v>3.9745113576333861</v>
      </c>
    </row>
    <row r="626" spans="1:13" x14ac:dyDescent="0.3">
      <c r="A626" t="s">
        <v>633</v>
      </c>
      <c r="B626" t="s">
        <v>1146</v>
      </c>
      <c r="C626">
        <v>16.600000000000001</v>
      </c>
      <c r="D626">
        <v>0</v>
      </c>
      <c r="E626">
        <v>43595.26171875</v>
      </c>
      <c r="F626">
        <v>43414.8125</v>
      </c>
      <c r="H626">
        <v>122</v>
      </c>
      <c r="I626">
        <v>128</v>
      </c>
      <c r="J626" t="s">
        <v>1184</v>
      </c>
      <c r="K626">
        <v>121.2225964078183</v>
      </c>
      <c r="L626">
        <v>120.39881231442411</v>
      </c>
      <c r="M626">
        <f t="shared" si="9"/>
        <v>120.8107043611212</v>
      </c>
    </row>
    <row r="627" spans="1:13" x14ac:dyDescent="0.3">
      <c r="A627" t="s">
        <v>634</v>
      </c>
      <c r="B627" t="s">
        <v>1147</v>
      </c>
      <c r="C627">
        <v>38.6</v>
      </c>
      <c r="D627">
        <v>0</v>
      </c>
      <c r="E627">
        <v>0</v>
      </c>
      <c r="F627">
        <v>4645195.125</v>
      </c>
      <c r="I627">
        <v>2</v>
      </c>
      <c r="J627" t="s">
        <v>1184</v>
      </c>
      <c r="K627" t="s">
        <v>1184</v>
      </c>
      <c r="L627">
        <v>1.8812314424128771</v>
      </c>
      <c r="M627">
        <f t="shared" si="9"/>
        <v>1.8812314424128771</v>
      </c>
    </row>
    <row r="628" spans="1:13" x14ac:dyDescent="0.3">
      <c r="A628" t="s">
        <v>635</v>
      </c>
      <c r="B628" t="s">
        <v>1148</v>
      </c>
      <c r="C628">
        <v>52.7</v>
      </c>
      <c r="D628">
        <v>0</v>
      </c>
      <c r="E628">
        <v>0</v>
      </c>
      <c r="F628">
        <v>483768.09375</v>
      </c>
      <c r="I628">
        <v>3</v>
      </c>
      <c r="J628" t="s">
        <v>1184</v>
      </c>
      <c r="K628" t="s">
        <v>1184</v>
      </c>
      <c r="L628">
        <v>2.821847163619315</v>
      </c>
      <c r="M628">
        <f t="shared" si="9"/>
        <v>2.821847163619315</v>
      </c>
    </row>
    <row r="629" spans="1:13" x14ac:dyDescent="0.3">
      <c r="A629" t="s">
        <v>636</v>
      </c>
      <c r="B629" t="s">
        <v>1149</v>
      </c>
      <c r="C629">
        <v>23.8</v>
      </c>
      <c r="D629">
        <v>0</v>
      </c>
      <c r="E629">
        <v>0</v>
      </c>
      <c r="F629">
        <v>314902.03125</v>
      </c>
      <c r="I629">
        <v>11</v>
      </c>
      <c r="J629" t="s">
        <v>1184</v>
      </c>
      <c r="K629" t="s">
        <v>1184</v>
      </c>
      <c r="L629">
        <v>10.34677293327082</v>
      </c>
      <c r="M629">
        <f t="shared" si="9"/>
        <v>10.34677293327082</v>
      </c>
    </row>
    <row r="630" spans="1:13" x14ac:dyDescent="0.3">
      <c r="A630" t="s">
        <v>637</v>
      </c>
      <c r="B630" t="s">
        <v>1150</v>
      </c>
      <c r="C630">
        <v>27.7</v>
      </c>
      <c r="D630">
        <v>0</v>
      </c>
      <c r="E630">
        <v>0</v>
      </c>
      <c r="F630">
        <v>2849476.25</v>
      </c>
      <c r="I630">
        <v>5</v>
      </c>
      <c r="J630" t="s">
        <v>1184</v>
      </c>
      <c r="K630" t="s">
        <v>1184</v>
      </c>
      <c r="L630">
        <v>4.7030786060321921</v>
      </c>
      <c r="M630">
        <f t="shared" si="9"/>
        <v>4.7030786060321921</v>
      </c>
    </row>
    <row r="631" spans="1:13" x14ac:dyDescent="0.3">
      <c r="A631" t="s">
        <v>638</v>
      </c>
      <c r="B631" t="s">
        <v>1151</v>
      </c>
      <c r="C631">
        <v>61.1</v>
      </c>
      <c r="D631">
        <v>0</v>
      </c>
      <c r="E631">
        <v>0</v>
      </c>
      <c r="F631">
        <v>734397.625</v>
      </c>
      <c r="I631">
        <v>2</v>
      </c>
      <c r="J631" t="s">
        <v>1184</v>
      </c>
      <c r="K631" t="s">
        <v>1184</v>
      </c>
      <c r="L631">
        <v>1.8812314424128771</v>
      </c>
      <c r="M631">
        <f t="shared" si="9"/>
        <v>1.8812314424128771</v>
      </c>
    </row>
    <row r="632" spans="1:13" x14ac:dyDescent="0.3">
      <c r="A632" t="s">
        <v>639</v>
      </c>
      <c r="B632" t="s">
        <v>685</v>
      </c>
      <c r="C632">
        <v>55.1</v>
      </c>
      <c r="D632">
        <v>0</v>
      </c>
      <c r="E632">
        <v>0</v>
      </c>
      <c r="F632">
        <v>2216421</v>
      </c>
      <c r="I632">
        <v>3</v>
      </c>
      <c r="J632" t="s">
        <v>1184</v>
      </c>
      <c r="K632" t="s">
        <v>1184</v>
      </c>
      <c r="L632">
        <v>2.821847163619315</v>
      </c>
      <c r="M632">
        <f t="shared" si="9"/>
        <v>2.821847163619315</v>
      </c>
    </row>
    <row r="633" spans="1:13" x14ac:dyDescent="0.3">
      <c r="A633" t="s">
        <v>640</v>
      </c>
      <c r="B633" t="s">
        <v>1152</v>
      </c>
      <c r="C633">
        <v>46.5</v>
      </c>
      <c r="D633">
        <v>0</v>
      </c>
      <c r="E633">
        <v>0</v>
      </c>
      <c r="F633">
        <v>0</v>
      </c>
      <c r="I633">
        <v>3</v>
      </c>
      <c r="J633" t="s">
        <v>1184</v>
      </c>
      <c r="K633" t="s">
        <v>1184</v>
      </c>
      <c r="L633">
        <v>2.821847163619315</v>
      </c>
      <c r="M633">
        <f t="shared" si="9"/>
        <v>2.821847163619315</v>
      </c>
    </row>
    <row r="634" spans="1:13" x14ac:dyDescent="0.3">
      <c r="A634" t="s">
        <v>641</v>
      </c>
      <c r="B634" t="s">
        <v>1153</v>
      </c>
      <c r="C634">
        <v>37.299999999999997</v>
      </c>
      <c r="D634">
        <v>0</v>
      </c>
      <c r="E634">
        <v>0</v>
      </c>
      <c r="F634">
        <v>0</v>
      </c>
      <c r="I634">
        <v>9</v>
      </c>
      <c r="J634" t="s">
        <v>1184</v>
      </c>
      <c r="K634" t="s">
        <v>1184</v>
      </c>
      <c r="L634">
        <v>8.4655414908579463</v>
      </c>
      <c r="M634">
        <f t="shared" si="9"/>
        <v>8.4655414908579463</v>
      </c>
    </row>
    <row r="635" spans="1:13" x14ac:dyDescent="0.3">
      <c r="A635" t="s">
        <v>642</v>
      </c>
      <c r="B635" t="s">
        <v>1154</v>
      </c>
      <c r="C635">
        <v>13.9</v>
      </c>
      <c r="D635">
        <v>0</v>
      </c>
      <c r="E635">
        <v>0</v>
      </c>
      <c r="F635">
        <v>254558.21875</v>
      </c>
      <c r="I635">
        <v>5</v>
      </c>
      <c r="J635" t="s">
        <v>1184</v>
      </c>
      <c r="K635" t="s">
        <v>1184</v>
      </c>
      <c r="L635">
        <v>4.7030786060321921</v>
      </c>
      <c r="M635">
        <f t="shared" si="9"/>
        <v>4.7030786060321921</v>
      </c>
    </row>
    <row r="636" spans="1:13" x14ac:dyDescent="0.3">
      <c r="A636" t="s">
        <v>643</v>
      </c>
      <c r="B636" t="s">
        <v>1155</v>
      </c>
      <c r="C636">
        <v>56.2</v>
      </c>
      <c r="D636">
        <v>0</v>
      </c>
      <c r="E636">
        <v>0</v>
      </c>
      <c r="F636">
        <v>1060299.75</v>
      </c>
      <c r="I636">
        <v>4</v>
      </c>
      <c r="J636" t="s">
        <v>1184</v>
      </c>
      <c r="K636" t="s">
        <v>1184</v>
      </c>
      <c r="L636">
        <v>3.7624628848257542</v>
      </c>
      <c r="M636">
        <f t="shared" si="9"/>
        <v>3.7624628848257542</v>
      </c>
    </row>
    <row r="637" spans="1:13" x14ac:dyDescent="0.3">
      <c r="A637" t="s">
        <v>644</v>
      </c>
      <c r="B637" t="s">
        <v>1156</v>
      </c>
      <c r="C637">
        <v>52.3</v>
      </c>
      <c r="D637">
        <v>0</v>
      </c>
      <c r="E637">
        <v>0</v>
      </c>
      <c r="F637">
        <v>381058</v>
      </c>
      <c r="I637">
        <v>2</v>
      </c>
      <c r="J637" t="s">
        <v>1184</v>
      </c>
      <c r="K637" t="s">
        <v>1184</v>
      </c>
      <c r="L637">
        <v>1.8812314424128771</v>
      </c>
      <c r="M637">
        <f t="shared" si="9"/>
        <v>1.8812314424128771</v>
      </c>
    </row>
    <row r="638" spans="1:13" x14ac:dyDescent="0.3">
      <c r="A638" t="s">
        <v>645</v>
      </c>
      <c r="B638" t="s">
        <v>1157</v>
      </c>
      <c r="C638">
        <v>35.299999999999997</v>
      </c>
      <c r="D638">
        <v>0</v>
      </c>
      <c r="E638">
        <v>0</v>
      </c>
      <c r="F638">
        <v>422881.3125</v>
      </c>
      <c r="I638">
        <v>2</v>
      </c>
      <c r="J638" t="s">
        <v>1184</v>
      </c>
      <c r="K638" t="s">
        <v>1184</v>
      </c>
      <c r="L638">
        <v>1.8812314424128771</v>
      </c>
      <c r="M638">
        <f t="shared" si="9"/>
        <v>1.8812314424128771</v>
      </c>
    </row>
    <row r="639" spans="1:13" x14ac:dyDescent="0.3">
      <c r="A639" t="s">
        <v>646</v>
      </c>
      <c r="B639" t="s">
        <v>1158</v>
      </c>
      <c r="C639">
        <v>46.6</v>
      </c>
      <c r="D639">
        <v>0</v>
      </c>
      <c r="E639">
        <v>0</v>
      </c>
      <c r="F639">
        <v>1232074.25</v>
      </c>
      <c r="I639">
        <v>2</v>
      </c>
      <c r="J639" t="s">
        <v>1184</v>
      </c>
      <c r="K639" t="s">
        <v>1184</v>
      </c>
      <c r="L639">
        <v>1.8812314424128771</v>
      </c>
      <c r="M639">
        <f t="shared" si="9"/>
        <v>1.8812314424128771</v>
      </c>
    </row>
    <row r="640" spans="1:13" x14ac:dyDescent="0.3">
      <c r="A640" t="s">
        <v>647</v>
      </c>
      <c r="B640" t="s">
        <v>1159</v>
      </c>
      <c r="C640">
        <v>18.899999999999999</v>
      </c>
      <c r="D640">
        <v>0</v>
      </c>
      <c r="E640">
        <v>0</v>
      </c>
      <c r="F640">
        <v>2758949.75</v>
      </c>
      <c r="I640">
        <v>3</v>
      </c>
      <c r="J640" t="s">
        <v>1184</v>
      </c>
      <c r="K640" t="s">
        <v>1184</v>
      </c>
      <c r="L640">
        <v>2.821847163619315</v>
      </c>
      <c r="M640">
        <f t="shared" si="9"/>
        <v>2.821847163619315</v>
      </c>
    </row>
    <row r="641" spans="1:13" x14ac:dyDescent="0.3">
      <c r="A641" t="s">
        <v>648</v>
      </c>
      <c r="B641" t="s">
        <v>1160</v>
      </c>
      <c r="C641">
        <v>38.9</v>
      </c>
      <c r="D641">
        <v>0</v>
      </c>
      <c r="E641">
        <v>0</v>
      </c>
      <c r="F641">
        <v>759969.3125</v>
      </c>
      <c r="I641">
        <v>3</v>
      </c>
      <c r="J641" t="s">
        <v>1184</v>
      </c>
      <c r="K641" t="s">
        <v>1184</v>
      </c>
      <c r="L641">
        <v>2.821847163619315</v>
      </c>
      <c r="M641">
        <f t="shared" si="9"/>
        <v>2.821847163619315</v>
      </c>
    </row>
    <row r="642" spans="1:13" x14ac:dyDescent="0.3">
      <c r="A642" t="s">
        <v>649</v>
      </c>
      <c r="B642" t="s">
        <v>1161</v>
      </c>
      <c r="C642">
        <v>101.7</v>
      </c>
      <c r="D642">
        <v>0</v>
      </c>
      <c r="E642">
        <v>0</v>
      </c>
      <c r="F642">
        <v>913646.75</v>
      </c>
      <c r="I642">
        <v>3</v>
      </c>
      <c r="J642" t="s">
        <v>1184</v>
      </c>
      <c r="K642" t="s">
        <v>1184</v>
      </c>
      <c r="L642">
        <v>2.821847163619315</v>
      </c>
      <c r="M642">
        <f t="shared" si="9"/>
        <v>2.821847163619315</v>
      </c>
    </row>
    <row r="643" spans="1:13" x14ac:dyDescent="0.3">
      <c r="A643" t="s">
        <v>650</v>
      </c>
      <c r="B643" t="s">
        <v>1162</v>
      </c>
      <c r="C643">
        <v>117.5</v>
      </c>
      <c r="D643">
        <v>0</v>
      </c>
      <c r="E643">
        <v>0</v>
      </c>
      <c r="F643">
        <v>0</v>
      </c>
      <c r="I643">
        <v>2</v>
      </c>
      <c r="J643" t="s">
        <v>1184</v>
      </c>
      <c r="K643" t="s">
        <v>1184</v>
      </c>
      <c r="L643">
        <v>1.8812314424128771</v>
      </c>
      <c r="M643">
        <f t="shared" si="9"/>
        <v>1.8812314424128771</v>
      </c>
    </row>
    <row r="644" spans="1:13" x14ac:dyDescent="0.3">
      <c r="A644" t="s">
        <v>651</v>
      </c>
      <c r="B644" t="s">
        <v>1163</v>
      </c>
      <c r="C644">
        <v>61.2</v>
      </c>
      <c r="D644">
        <v>0</v>
      </c>
      <c r="E644">
        <v>0</v>
      </c>
      <c r="F644">
        <v>1521314.5</v>
      </c>
      <c r="I644">
        <v>2</v>
      </c>
      <c r="J644" t="s">
        <v>1184</v>
      </c>
      <c r="K644" t="s">
        <v>1184</v>
      </c>
      <c r="L644">
        <v>1.8812314424128771</v>
      </c>
      <c r="M644">
        <f t="shared" ref="M644:M669" si="10">AVERAGE(J644:L644)</f>
        <v>1.8812314424128771</v>
      </c>
    </row>
    <row r="645" spans="1:13" x14ac:dyDescent="0.3">
      <c r="A645" t="s">
        <v>652</v>
      </c>
      <c r="B645" t="s">
        <v>1164</v>
      </c>
      <c r="C645">
        <v>17.2</v>
      </c>
      <c r="D645">
        <v>0</v>
      </c>
      <c r="E645">
        <v>0</v>
      </c>
      <c r="F645">
        <v>6051033.5</v>
      </c>
      <c r="I645">
        <v>3</v>
      </c>
      <c r="J645" t="s">
        <v>1184</v>
      </c>
      <c r="K645" t="s">
        <v>1184</v>
      </c>
      <c r="L645">
        <v>2.821847163619315</v>
      </c>
      <c r="M645">
        <f t="shared" si="10"/>
        <v>2.821847163619315</v>
      </c>
    </row>
    <row r="646" spans="1:13" x14ac:dyDescent="0.3">
      <c r="A646" t="s">
        <v>653</v>
      </c>
      <c r="B646" t="s">
        <v>1165</v>
      </c>
      <c r="C646">
        <v>36.200000000000003</v>
      </c>
      <c r="D646">
        <v>0</v>
      </c>
      <c r="E646">
        <v>0</v>
      </c>
      <c r="F646">
        <v>1787565.1875</v>
      </c>
      <c r="I646">
        <v>3</v>
      </c>
      <c r="J646" t="s">
        <v>1184</v>
      </c>
      <c r="K646" t="s">
        <v>1184</v>
      </c>
      <c r="L646">
        <v>2.821847163619315</v>
      </c>
      <c r="M646">
        <f t="shared" si="10"/>
        <v>2.821847163619315</v>
      </c>
    </row>
    <row r="647" spans="1:13" x14ac:dyDescent="0.3">
      <c r="A647" t="s">
        <v>654</v>
      </c>
      <c r="B647" t="s">
        <v>1166</v>
      </c>
      <c r="C647">
        <v>10.4</v>
      </c>
      <c r="D647">
        <v>0</v>
      </c>
      <c r="E647">
        <v>0</v>
      </c>
      <c r="F647">
        <v>5719010.5</v>
      </c>
      <c r="I647">
        <v>3</v>
      </c>
      <c r="J647" t="s">
        <v>1184</v>
      </c>
      <c r="K647" t="s">
        <v>1184</v>
      </c>
      <c r="L647">
        <v>2.821847163619315</v>
      </c>
      <c r="M647">
        <f t="shared" si="10"/>
        <v>2.821847163619315</v>
      </c>
    </row>
    <row r="648" spans="1:13" x14ac:dyDescent="0.3">
      <c r="A648" t="s">
        <v>655</v>
      </c>
      <c r="B648" t="s">
        <v>1167</v>
      </c>
      <c r="C648">
        <v>32.200000000000003</v>
      </c>
      <c r="D648">
        <v>0</v>
      </c>
      <c r="E648">
        <v>0</v>
      </c>
      <c r="F648">
        <v>0</v>
      </c>
      <c r="I648">
        <v>17</v>
      </c>
      <c r="J648" t="s">
        <v>1184</v>
      </c>
      <c r="K648" t="s">
        <v>1184</v>
      </c>
      <c r="L648">
        <v>15.990467260509449</v>
      </c>
      <c r="M648">
        <f t="shared" si="10"/>
        <v>15.990467260509449</v>
      </c>
    </row>
    <row r="649" spans="1:13" x14ac:dyDescent="0.3">
      <c r="A649" t="s">
        <v>656</v>
      </c>
      <c r="B649" t="s">
        <v>1168</v>
      </c>
      <c r="C649">
        <v>15.3</v>
      </c>
      <c r="D649">
        <v>0</v>
      </c>
      <c r="E649">
        <v>0</v>
      </c>
      <c r="F649">
        <v>2251065.8125</v>
      </c>
      <c r="I649">
        <v>2</v>
      </c>
      <c r="J649" t="s">
        <v>1184</v>
      </c>
      <c r="K649" t="s">
        <v>1184</v>
      </c>
      <c r="L649">
        <v>1.8812314424128771</v>
      </c>
      <c r="M649">
        <f t="shared" si="10"/>
        <v>1.8812314424128771</v>
      </c>
    </row>
    <row r="650" spans="1:13" x14ac:dyDescent="0.3">
      <c r="A650" t="s">
        <v>657</v>
      </c>
      <c r="B650" t="s">
        <v>685</v>
      </c>
      <c r="C650">
        <v>102.9</v>
      </c>
      <c r="D650">
        <v>0</v>
      </c>
      <c r="E650">
        <v>0</v>
      </c>
      <c r="F650">
        <v>1631598.375</v>
      </c>
      <c r="I650">
        <v>8</v>
      </c>
      <c r="J650" t="s">
        <v>1184</v>
      </c>
      <c r="K650" t="s">
        <v>1184</v>
      </c>
      <c r="L650">
        <v>7.5249257696515084</v>
      </c>
      <c r="M650">
        <f t="shared" si="10"/>
        <v>7.5249257696515084</v>
      </c>
    </row>
    <row r="651" spans="1:13" x14ac:dyDescent="0.3">
      <c r="A651" t="s">
        <v>658</v>
      </c>
      <c r="B651" t="s">
        <v>1169</v>
      </c>
      <c r="C651">
        <v>27.4</v>
      </c>
      <c r="D651">
        <v>0</v>
      </c>
      <c r="E651">
        <v>0</v>
      </c>
      <c r="F651">
        <v>0</v>
      </c>
      <c r="I651">
        <v>3</v>
      </c>
      <c r="J651" t="s">
        <v>1184</v>
      </c>
      <c r="K651" t="s">
        <v>1184</v>
      </c>
      <c r="L651">
        <v>2.821847163619315</v>
      </c>
      <c r="M651">
        <f t="shared" si="10"/>
        <v>2.821847163619315</v>
      </c>
    </row>
    <row r="652" spans="1:13" x14ac:dyDescent="0.3">
      <c r="A652" t="s">
        <v>659</v>
      </c>
      <c r="B652" t="s">
        <v>1170</v>
      </c>
      <c r="C652">
        <v>58.4</v>
      </c>
      <c r="D652">
        <v>0</v>
      </c>
      <c r="E652">
        <v>0</v>
      </c>
      <c r="F652">
        <v>15258995.8125</v>
      </c>
      <c r="I652">
        <v>10</v>
      </c>
      <c r="J652" t="s">
        <v>1184</v>
      </c>
      <c r="K652" t="s">
        <v>1184</v>
      </c>
      <c r="L652">
        <v>9.4061572120643842</v>
      </c>
      <c r="M652">
        <f t="shared" si="10"/>
        <v>9.4061572120643842</v>
      </c>
    </row>
    <row r="653" spans="1:13" x14ac:dyDescent="0.3">
      <c r="A653" t="s">
        <v>660</v>
      </c>
      <c r="B653" t="s">
        <v>685</v>
      </c>
      <c r="C653">
        <v>23.4</v>
      </c>
      <c r="D653">
        <v>0</v>
      </c>
      <c r="E653">
        <v>0</v>
      </c>
      <c r="F653">
        <v>2249041.6875</v>
      </c>
      <c r="I653">
        <v>2</v>
      </c>
      <c r="J653" t="s">
        <v>1184</v>
      </c>
      <c r="K653" t="s">
        <v>1184</v>
      </c>
      <c r="L653">
        <v>1.8812314424128771</v>
      </c>
      <c r="M653">
        <f t="shared" si="10"/>
        <v>1.8812314424128771</v>
      </c>
    </row>
    <row r="654" spans="1:13" x14ac:dyDescent="0.3">
      <c r="A654" t="s">
        <v>661</v>
      </c>
      <c r="B654" t="s">
        <v>685</v>
      </c>
      <c r="C654">
        <v>11.5</v>
      </c>
      <c r="D654">
        <v>0</v>
      </c>
      <c r="E654">
        <v>0</v>
      </c>
      <c r="F654">
        <v>1625054.78125</v>
      </c>
      <c r="I654">
        <v>2</v>
      </c>
      <c r="J654" t="s">
        <v>1184</v>
      </c>
      <c r="K654" t="s">
        <v>1184</v>
      </c>
      <c r="L654">
        <v>1.8812314424128771</v>
      </c>
      <c r="M654">
        <f t="shared" si="10"/>
        <v>1.8812314424128771</v>
      </c>
    </row>
    <row r="655" spans="1:13" x14ac:dyDescent="0.3">
      <c r="A655" t="s">
        <v>662</v>
      </c>
      <c r="B655" t="s">
        <v>1171</v>
      </c>
      <c r="C655">
        <v>71.900000000000006</v>
      </c>
      <c r="D655">
        <v>0</v>
      </c>
      <c r="E655">
        <v>0</v>
      </c>
      <c r="F655">
        <v>2431727.9375</v>
      </c>
      <c r="I655">
        <v>3</v>
      </c>
      <c r="J655" t="s">
        <v>1184</v>
      </c>
      <c r="K655" t="s">
        <v>1184</v>
      </c>
      <c r="L655">
        <v>2.821847163619315</v>
      </c>
      <c r="M655">
        <f t="shared" si="10"/>
        <v>2.821847163619315</v>
      </c>
    </row>
    <row r="656" spans="1:13" x14ac:dyDescent="0.3">
      <c r="A656" t="s">
        <v>663</v>
      </c>
      <c r="B656" t="s">
        <v>1172</v>
      </c>
      <c r="C656">
        <v>40.5</v>
      </c>
      <c r="D656">
        <v>0</v>
      </c>
      <c r="E656">
        <v>0</v>
      </c>
      <c r="F656">
        <v>676197.625</v>
      </c>
      <c r="I656">
        <v>2</v>
      </c>
      <c r="J656" t="s">
        <v>1184</v>
      </c>
      <c r="K656" t="s">
        <v>1184</v>
      </c>
      <c r="L656">
        <v>1.8812314424128771</v>
      </c>
      <c r="M656">
        <f t="shared" si="10"/>
        <v>1.8812314424128771</v>
      </c>
    </row>
    <row r="657" spans="1:13" x14ac:dyDescent="0.3">
      <c r="A657" t="s">
        <v>664</v>
      </c>
      <c r="B657" t="s">
        <v>1173</v>
      </c>
      <c r="C657">
        <v>127.9</v>
      </c>
      <c r="D657">
        <v>0</v>
      </c>
      <c r="E657">
        <v>0</v>
      </c>
      <c r="F657">
        <v>1621692.203125</v>
      </c>
      <c r="I657">
        <v>3</v>
      </c>
      <c r="J657" t="s">
        <v>1184</v>
      </c>
      <c r="K657" t="s">
        <v>1184</v>
      </c>
      <c r="L657">
        <v>2.821847163619315</v>
      </c>
      <c r="M657">
        <f t="shared" si="10"/>
        <v>2.821847163619315</v>
      </c>
    </row>
    <row r="658" spans="1:13" x14ac:dyDescent="0.3">
      <c r="A658" t="s">
        <v>665</v>
      </c>
      <c r="B658" t="s">
        <v>1174</v>
      </c>
      <c r="C658">
        <v>7.7</v>
      </c>
      <c r="D658">
        <v>0</v>
      </c>
      <c r="E658">
        <v>0</v>
      </c>
      <c r="F658">
        <v>6800293</v>
      </c>
      <c r="I658">
        <v>6</v>
      </c>
      <c r="J658" t="s">
        <v>1184</v>
      </c>
      <c r="K658" t="s">
        <v>1184</v>
      </c>
      <c r="L658">
        <v>5.6436943272386308</v>
      </c>
      <c r="M658">
        <f t="shared" si="10"/>
        <v>5.6436943272386308</v>
      </c>
    </row>
    <row r="659" spans="1:13" x14ac:dyDescent="0.3">
      <c r="A659" t="s">
        <v>666</v>
      </c>
      <c r="B659" t="s">
        <v>1175</v>
      </c>
      <c r="C659">
        <v>36.4</v>
      </c>
      <c r="D659">
        <v>0</v>
      </c>
      <c r="E659">
        <v>0</v>
      </c>
      <c r="F659">
        <v>1301770.25</v>
      </c>
      <c r="I659">
        <v>8</v>
      </c>
      <c r="J659" t="s">
        <v>1184</v>
      </c>
      <c r="K659" t="s">
        <v>1184</v>
      </c>
      <c r="L659">
        <v>7.5249257696515084</v>
      </c>
      <c r="M659">
        <f t="shared" si="10"/>
        <v>7.5249257696515084</v>
      </c>
    </row>
    <row r="660" spans="1:13" x14ac:dyDescent="0.3">
      <c r="A660" t="s">
        <v>667</v>
      </c>
      <c r="B660" t="s">
        <v>1176</v>
      </c>
      <c r="C660">
        <v>54.4</v>
      </c>
      <c r="D660">
        <v>0</v>
      </c>
      <c r="E660">
        <v>0</v>
      </c>
      <c r="F660">
        <v>938529.5</v>
      </c>
      <c r="I660">
        <v>2</v>
      </c>
      <c r="J660" t="s">
        <v>1184</v>
      </c>
      <c r="K660" t="s">
        <v>1184</v>
      </c>
      <c r="L660">
        <v>1.8812314424128771</v>
      </c>
      <c r="M660">
        <f t="shared" si="10"/>
        <v>1.8812314424128771</v>
      </c>
    </row>
    <row r="661" spans="1:13" x14ac:dyDescent="0.3">
      <c r="A661" t="s">
        <v>668</v>
      </c>
      <c r="B661" t="s">
        <v>685</v>
      </c>
      <c r="C661">
        <v>22.1</v>
      </c>
      <c r="D661">
        <v>0</v>
      </c>
      <c r="E661">
        <v>0</v>
      </c>
      <c r="F661">
        <v>22063449.875</v>
      </c>
      <c r="I661">
        <v>11</v>
      </c>
      <c r="J661" t="s">
        <v>1184</v>
      </c>
      <c r="K661" t="s">
        <v>1184</v>
      </c>
      <c r="L661">
        <v>10.34677293327082</v>
      </c>
      <c r="M661">
        <f t="shared" si="10"/>
        <v>10.34677293327082</v>
      </c>
    </row>
    <row r="662" spans="1:13" x14ac:dyDescent="0.3">
      <c r="A662" t="s">
        <v>669</v>
      </c>
      <c r="B662" t="s">
        <v>685</v>
      </c>
      <c r="C662">
        <v>69.5</v>
      </c>
      <c r="D662">
        <v>0</v>
      </c>
      <c r="E662">
        <v>0</v>
      </c>
      <c r="F662">
        <v>3718860.5</v>
      </c>
      <c r="I662">
        <v>20</v>
      </c>
      <c r="J662" t="s">
        <v>1184</v>
      </c>
      <c r="K662" t="s">
        <v>1184</v>
      </c>
      <c r="L662">
        <v>18.812314424128768</v>
      </c>
      <c r="M662">
        <f t="shared" si="10"/>
        <v>18.812314424128768</v>
      </c>
    </row>
    <row r="663" spans="1:13" x14ac:dyDescent="0.3">
      <c r="A663" t="s">
        <v>670</v>
      </c>
      <c r="B663" t="s">
        <v>685</v>
      </c>
      <c r="C663">
        <v>21.8</v>
      </c>
      <c r="D663">
        <v>0</v>
      </c>
      <c r="E663">
        <v>0</v>
      </c>
      <c r="F663">
        <v>2177329.9375</v>
      </c>
      <c r="I663">
        <v>3</v>
      </c>
      <c r="J663" t="s">
        <v>1184</v>
      </c>
      <c r="K663" t="s">
        <v>1184</v>
      </c>
      <c r="L663">
        <v>2.821847163619315</v>
      </c>
      <c r="M663">
        <f t="shared" si="10"/>
        <v>2.821847163619315</v>
      </c>
    </row>
    <row r="664" spans="1:13" x14ac:dyDescent="0.3">
      <c r="A664" t="s">
        <v>671</v>
      </c>
      <c r="B664" t="s">
        <v>685</v>
      </c>
      <c r="C664">
        <v>12.3</v>
      </c>
      <c r="D664">
        <v>0</v>
      </c>
      <c r="E664">
        <v>0</v>
      </c>
      <c r="F664">
        <v>3871346.875</v>
      </c>
      <c r="I664">
        <v>3</v>
      </c>
      <c r="J664" t="s">
        <v>1184</v>
      </c>
      <c r="K664" t="s">
        <v>1184</v>
      </c>
      <c r="L664">
        <v>2.821847163619315</v>
      </c>
      <c r="M664">
        <f t="shared" si="10"/>
        <v>2.821847163619315</v>
      </c>
    </row>
    <row r="665" spans="1:13" x14ac:dyDescent="0.3">
      <c r="A665" t="s">
        <v>672</v>
      </c>
      <c r="B665" t="s">
        <v>1177</v>
      </c>
      <c r="C665">
        <v>26.5</v>
      </c>
      <c r="D665">
        <v>0</v>
      </c>
      <c r="E665">
        <v>0</v>
      </c>
      <c r="F665">
        <v>234216560.89843801</v>
      </c>
      <c r="I665">
        <v>37</v>
      </c>
      <c r="J665" t="s">
        <v>1184</v>
      </c>
      <c r="K665" t="s">
        <v>1184</v>
      </c>
      <c r="L665">
        <v>34.802781684638227</v>
      </c>
      <c r="M665">
        <f t="shared" si="10"/>
        <v>34.802781684638227</v>
      </c>
    </row>
    <row r="666" spans="1:13" x14ac:dyDescent="0.3">
      <c r="A666" t="s">
        <v>673</v>
      </c>
      <c r="B666" t="s">
        <v>1178</v>
      </c>
      <c r="C666">
        <v>27.2</v>
      </c>
      <c r="D666">
        <v>0</v>
      </c>
      <c r="E666">
        <v>0</v>
      </c>
      <c r="F666">
        <v>5414852.5</v>
      </c>
      <c r="I666">
        <v>9</v>
      </c>
      <c r="J666" t="s">
        <v>1184</v>
      </c>
      <c r="K666" t="s">
        <v>1184</v>
      </c>
      <c r="L666">
        <v>8.4655414908579463</v>
      </c>
      <c r="M666">
        <f t="shared" si="10"/>
        <v>8.4655414908579463</v>
      </c>
    </row>
    <row r="667" spans="1:13" x14ac:dyDescent="0.3">
      <c r="A667" t="s">
        <v>674</v>
      </c>
      <c r="B667" t="s">
        <v>685</v>
      </c>
      <c r="C667">
        <v>16.3</v>
      </c>
      <c r="D667">
        <v>0</v>
      </c>
      <c r="E667">
        <v>0</v>
      </c>
      <c r="F667">
        <v>1277799.25</v>
      </c>
      <c r="I667">
        <v>8</v>
      </c>
      <c r="J667" t="s">
        <v>1184</v>
      </c>
      <c r="K667" t="s">
        <v>1184</v>
      </c>
      <c r="L667">
        <v>7.5249257696515084</v>
      </c>
      <c r="M667">
        <f t="shared" si="10"/>
        <v>7.5249257696515084</v>
      </c>
    </row>
    <row r="668" spans="1:13" x14ac:dyDescent="0.3">
      <c r="A668" t="s">
        <v>675</v>
      </c>
      <c r="B668" t="s">
        <v>1179</v>
      </c>
      <c r="C668">
        <v>23.6</v>
      </c>
      <c r="D668">
        <v>0</v>
      </c>
      <c r="E668">
        <v>0</v>
      </c>
      <c r="F668">
        <v>0</v>
      </c>
      <c r="I668">
        <v>28</v>
      </c>
      <c r="J668" t="s">
        <v>1184</v>
      </c>
      <c r="K668" t="s">
        <v>1184</v>
      </c>
      <c r="L668">
        <v>26.337240193780278</v>
      </c>
      <c r="M668">
        <f t="shared" si="10"/>
        <v>26.337240193780278</v>
      </c>
    </row>
    <row r="669" spans="1:13" x14ac:dyDescent="0.3">
      <c r="A669" t="s">
        <v>676</v>
      </c>
      <c r="B669" t="s">
        <v>1180</v>
      </c>
      <c r="C669">
        <v>17.8</v>
      </c>
      <c r="D669">
        <v>0</v>
      </c>
      <c r="E669">
        <v>0</v>
      </c>
      <c r="F669">
        <v>241427348.75</v>
      </c>
      <c r="I669">
        <v>17</v>
      </c>
      <c r="J669" t="s">
        <v>1184</v>
      </c>
      <c r="K669" t="s">
        <v>1184</v>
      </c>
      <c r="L669">
        <v>15.990467260509449</v>
      </c>
      <c r="M669">
        <f t="shared" si="10"/>
        <v>15.990467260509449</v>
      </c>
    </row>
  </sheetData>
  <mergeCells count="3">
    <mergeCell ref="D1:F1"/>
    <mergeCell ref="G1:I1"/>
    <mergeCell ref="J1:L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Chao Yuan Chang</cp:lastModifiedBy>
  <dcterms:created xsi:type="dcterms:W3CDTF">2025-11-12T05:13:22Z</dcterms:created>
  <dcterms:modified xsi:type="dcterms:W3CDTF">2025-11-12T06:38:33Z</dcterms:modified>
</cp:coreProperties>
</file>