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01計畫結果\ARDS整合型計畫\結果\Lung_fibrosis_microbiota\Microbiota_APGiNV_AP_Sham_20251208\NM2510170022 NGS Report\Analysis report\4.Taxonomy profiling\(1) Lung\"/>
    </mc:Choice>
  </mc:AlternateContent>
  <xr:revisionPtr revIDLastSave="0" documentId="8_{E1D4C30B-7D14-4AEF-A6A7-59B1ECE199D9}" xr6:coauthVersionLast="47" xr6:coauthVersionMax="47" xr10:uidLastSave="{00000000-0000-0000-0000-000000000000}"/>
  <bookViews>
    <workbookView xWindow="-108" yWindow="-108" windowWidth="23256" windowHeight="12456" xr2:uid="{39BD0CCB-43BF-4859-843C-96078CB0F9C8}"/>
  </bookViews>
  <sheets>
    <sheet name="L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161" i="1" l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T7" i="1"/>
  <c r="AT6" i="1"/>
  <c r="AT5" i="1"/>
  <c r="AT4" i="1"/>
  <c r="AT3" i="1"/>
  <c r="AT2" i="1"/>
</calcChain>
</file>

<file path=xl/sharedStrings.xml><?xml version="1.0" encoding="utf-8"?>
<sst xmlns="http://schemas.openxmlformats.org/spreadsheetml/2006/main" count="1165" uniqueCount="349">
  <si>
    <t>Kingdom</t>
  </si>
  <si>
    <t>Phylum</t>
  </si>
  <si>
    <t>Class</t>
  </si>
  <si>
    <t>Order</t>
  </si>
  <si>
    <t>Family</t>
  </si>
  <si>
    <t>Genus</t>
  </si>
  <si>
    <t>Species</t>
  </si>
  <si>
    <t>Sham-1_Lung</t>
  </si>
  <si>
    <t>Sham-2_Lung</t>
  </si>
  <si>
    <t>Sham-3_Lung</t>
  </si>
  <si>
    <t>Sham-4_Lung</t>
  </si>
  <si>
    <t>Sham-5_Lung</t>
  </si>
  <si>
    <t>Sham-6_Lung</t>
  </si>
  <si>
    <t>AP-1_Lung</t>
  </si>
  <si>
    <t>AP-2_Lung</t>
  </si>
  <si>
    <t>AP-3_Lung</t>
  </si>
  <si>
    <t>AP-4_Lung</t>
  </si>
  <si>
    <t>AP-5_Lung</t>
  </si>
  <si>
    <t>AP-6_Lung</t>
  </si>
  <si>
    <t>AP-GiExo-1_Lung</t>
  </si>
  <si>
    <t>AP-GiExo-2_Lung</t>
  </si>
  <si>
    <t>AP-GiExo-3_Lung</t>
  </si>
  <si>
    <t>AP-GiExo-4_Lung</t>
  </si>
  <si>
    <t>AP-GiExo-5_Lung</t>
  </si>
  <si>
    <t>AP-GiExo-6_Lung</t>
  </si>
  <si>
    <t>Total</t>
  </si>
  <si>
    <t>Bacteria</t>
  </si>
  <si>
    <t>Acidobacteriota</t>
  </si>
  <si>
    <t>Acidobacteriae</t>
  </si>
  <si>
    <t>Acidobacteriales</t>
  </si>
  <si>
    <t>uncultured</t>
  </si>
  <si>
    <t>unclassified</t>
  </si>
  <si>
    <t>Bryobacterales</t>
  </si>
  <si>
    <t>Bryobacteraceae</t>
  </si>
  <si>
    <t>Bryobacter</t>
  </si>
  <si>
    <t>Blastocatellia</t>
  </si>
  <si>
    <t>11-24</t>
  </si>
  <si>
    <t>uncultured_bacterium</t>
  </si>
  <si>
    <t>Blastocatellales</t>
  </si>
  <si>
    <t>Blastocatellaceae</t>
  </si>
  <si>
    <t>JGI_0001001-H03</t>
  </si>
  <si>
    <t>Holophagae</t>
  </si>
  <si>
    <t>Subgroup_7</t>
  </si>
  <si>
    <t>uncultured_Desulfuromonadales</t>
  </si>
  <si>
    <t>Vicinamibacteria</t>
  </si>
  <si>
    <t>Vicinamibacterales</t>
  </si>
  <si>
    <t>Actinobacteriota</t>
  </si>
  <si>
    <t>Acidimicrobiia</t>
  </si>
  <si>
    <t>Actinobacteria</t>
  </si>
  <si>
    <t>Bifidobacteriales</t>
  </si>
  <si>
    <t>Bifidobacteriaceae</t>
  </si>
  <si>
    <t>Bifidobacterium</t>
  </si>
  <si>
    <t>Bifidobacterium_pseudolongum</t>
  </si>
  <si>
    <t>Corynebacteriales</t>
  </si>
  <si>
    <t>Corynebacteriaceae</t>
  </si>
  <si>
    <t>Corynebacterium</t>
  </si>
  <si>
    <t>Corynebacterium_coyleae</t>
  </si>
  <si>
    <t>Corynebacterium_tuberculostearicum</t>
  </si>
  <si>
    <t>Dietziaceae</t>
  </si>
  <si>
    <t>Dietzia</t>
  </si>
  <si>
    <t>Nocardiaceae</t>
  </si>
  <si>
    <t>Gordonia</t>
  </si>
  <si>
    <t>Frankiales</t>
  </si>
  <si>
    <t>Sporichthyaceae</t>
  </si>
  <si>
    <t>Micrococcales</t>
  </si>
  <si>
    <t>Brevibacteriaceae</t>
  </si>
  <si>
    <t>Brevibacterium</t>
  </si>
  <si>
    <t>Dermabacteraceae</t>
  </si>
  <si>
    <t>Brachybacterium</t>
  </si>
  <si>
    <t>Micrococcaceae</t>
  </si>
  <si>
    <t>Micrococcus</t>
  </si>
  <si>
    <t>Neomicrococcus</t>
  </si>
  <si>
    <t>Neomicrococcus_aestuarii</t>
  </si>
  <si>
    <t>Rothia</t>
  </si>
  <si>
    <t>Propionibacteriales</t>
  </si>
  <si>
    <t>Nocardioidaceae</t>
  </si>
  <si>
    <t>Aeromicrobium</t>
  </si>
  <si>
    <t>Streptomycetales</t>
  </si>
  <si>
    <t>Streptomycetaceae</t>
  </si>
  <si>
    <t>Streptomyces</t>
  </si>
  <si>
    <t>Coriobacteriia</t>
  </si>
  <si>
    <t>Coriobacteriales</t>
  </si>
  <si>
    <t>Eggerthellaceae</t>
  </si>
  <si>
    <t>Enterorhabdus</t>
  </si>
  <si>
    <t>Bacteroidota</t>
  </si>
  <si>
    <t>Bacteroidia</t>
  </si>
  <si>
    <t>Bacteroidales</t>
  </si>
  <si>
    <t>Paludibacteraceae</t>
  </si>
  <si>
    <t>Paludibacter</t>
  </si>
  <si>
    <t>Chitinophagales</t>
  </si>
  <si>
    <t>Chitinophagaceae</t>
  </si>
  <si>
    <t>Sediminibacterium</t>
  </si>
  <si>
    <t>mine_drainage</t>
  </si>
  <si>
    <t>uncultured_Bacteroidetes</t>
  </si>
  <si>
    <t>Flavobacteriales</t>
  </si>
  <si>
    <t>Flavobacteriaceae</t>
  </si>
  <si>
    <t>Flavobacterium</t>
  </si>
  <si>
    <t>Flavobacterium_sasangense</t>
  </si>
  <si>
    <t>Weeksellaceae</t>
  </si>
  <si>
    <t>Chryseobacterium</t>
  </si>
  <si>
    <t>Cloacibacterium</t>
  </si>
  <si>
    <t>Sphingobacteriales</t>
  </si>
  <si>
    <t>Sphingobacteriaceae</t>
  </si>
  <si>
    <t>Nubsella</t>
  </si>
  <si>
    <t>Caldatribacteriota</t>
  </si>
  <si>
    <t>Caldatribacteriia</t>
  </si>
  <si>
    <t>Caldatribacteriales</t>
  </si>
  <si>
    <t>Caldatribacteriaceae</t>
  </si>
  <si>
    <t>Candidatus_Caldatribacterium</t>
  </si>
  <si>
    <t>uncultured_Candidatus</t>
  </si>
  <si>
    <t>Chloroflexi</t>
  </si>
  <si>
    <t>Anaerolineae</t>
  </si>
  <si>
    <t>Anaerolineales</t>
  </si>
  <si>
    <t>Anaerolineaceae</t>
  </si>
  <si>
    <t>Chloroflexia</t>
  </si>
  <si>
    <t>Thermomicrobiales</t>
  </si>
  <si>
    <t>JG30-KF-CM45</t>
  </si>
  <si>
    <t>JG30-KF-CM66</t>
  </si>
  <si>
    <t>uncultured_Chloroflexi</t>
  </si>
  <si>
    <t>Cyanobacteria</t>
  </si>
  <si>
    <t>Cyanobacteriia</t>
  </si>
  <si>
    <t>Cyanobacteriales</t>
  </si>
  <si>
    <t>Chroococcidiopsaceae</t>
  </si>
  <si>
    <t>Aliterella</t>
  </si>
  <si>
    <t>Dadabacteria</t>
  </si>
  <si>
    <t>Dadabacteriia</t>
  </si>
  <si>
    <t>Dadabacteriales</t>
  </si>
  <si>
    <t>uncultured_candidate</t>
  </si>
  <si>
    <t>Deinococcota</t>
  </si>
  <si>
    <t>Deinococci</t>
  </si>
  <si>
    <t>Deinococcales</t>
  </si>
  <si>
    <t>Deinococcaceae</t>
  </si>
  <si>
    <t>Deinococcus</t>
  </si>
  <si>
    <t>Deinococcus_wulumuqiensis</t>
  </si>
  <si>
    <t>Desulfobacterota</t>
  </si>
  <si>
    <t>Desulfovibrionia</t>
  </si>
  <si>
    <t>Desulfovibrionales</t>
  </si>
  <si>
    <t>Desulfovibrionaceae</t>
  </si>
  <si>
    <t>Desulfovibrio</t>
  </si>
  <si>
    <t>Firmicutes</t>
  </si>
  <si>
    <t>Bacilli</t>
  </si>
  <si>
    <t>Bacillales</t>
  </si>
  <si>
    <t>Bacillaceae</t>
  </si>
  <si>
    <t>Bacillus</t>
  </si>
  <si>
    <t>Bacillus_circulans</t>
  </si>
  <si>
    <t>Bacillus_thermoamylovorans</t>
  </si>
  <si>
    <t>Fictibacillus</t>
  </si>
  <si>
    <t>Geobacillus</t>
  </si>
  <si>
    <t>Planococcaceae</t>
  </si>
  <si>
    <t>Lysinibacillus</t>
  </si>
  <si>
    <t>Brevibacillales</t>
  </si>
  <si>
    <t>Brevibacillaceae</t>
  </si>
  <si>
    <t>Brevibacillus</t>
  </si>
  <si>
    <t>Lactobacillales</t>
  </si>
  <si>
    <t>Enterococcaceae</t>
  </si>
  <si>
    <t>Enterococcus</t>
  </si>
  <si>
    <t>Enterococcus_cecorum</t>
  </si>
  <si>
    <t>Lactobacillaceae</t>
  </si>
  <si>
    <t>Lactobacillus</t>
  </si>
  <si>
    <t>Lactobacillus_buchneri</t>
  </si>
  <si>
    <t>Lactobacillus_harbinensis</t>
  </si>
  <si>
    <t>Lactobacillus_johnsonii</t>
  </si>
  <si>
    <t>Lactobacillus_murinus</t>
  </si>
  <si>
    <t>Lactobacillus_perolens</t>
  </si>
  <si>
    <t>Lactobacillus_reuteri</t>
  </si>
  <si>
    <t>Streptococcaceae</t>
  </si>
  <si>
    <t>Streptococcus</t>
  </si>
  <si>
    <t>Streptococcus_danieliae</t>
  </si>
  <si>
    <t>Paenibacillales</t>
  </si>
  <si>
    <t>Paenibacillaceae</t>
  </si>
  <si>
    <t>Ammoniphilus</t>
  </si>
  <si>
    <t>Paenibacillus</t>
  </si>
  <si>
    <t>Paenibacillus_lautus</t>
  </si>
  <si>
    <t>Staphylococcales</t>
  </si>
  <si>
    <t>Staphylococcaceae</t>
  </si>
  <si>
    <t>Staphylococcus</t>
  </si>
  <si>
    <t>Staphylococcus_saprophyticus</t>
  </si>
  <si>
    <t>Clostridia</t>
  </si>
  <si>
    <t>Clostridiales</t>
  </si>
  <si>
    <t>Caloramatoraceae</t>
  </si>
  <si>
    <t>Caloramator</t>
  </si>
  <si>
    <t>Caloramator_australicus</t>
  </si>
  <si>
    <t>Clostridiaceae</t>
  </si>
  <si>
    <t>Clostridium_sensu_stricto_1</t>
  </si>
  <si>
    <t>Lachnospirales</t>
  </si>
  <si>
    <t>Lachnospiraceae</t>
  </si>
  <si>
    <t>Lachnoclostridium</t>
  </si>
  <si>
    <t>Oscillospirales</t>
  </si>
  <si>
    <t>[Eubacterium]_coprostanoligenes_group</t>
  </si>
  <si>
    <t>gut_metagenome</t>
  </si>
  <si>
    <t>Peptostreptococcales-Tissierellales</t>
  </si>
  <si>
    <t>Sedimentibacteraceae</t>
  </si>
  <si>
    <t>Sedimentibacter</t>
  </si>
  <si>
    <t>Fusobacteriota</t>
  </si>
  <si>
    <t>Fusobacteriia</t>
  </si>
  <si>
    <t>Fusobacteriales</t>
  </si>
  <si>
    <t>Fusobacteriaceae</t>
  </si>
  <si>
    <t>Cetobacterium</t>
  </si>
  <si>
    <t>Gemmatimonadota</t>
  </si>
  <si>
    <t>Gemmatimonadetes</t>
  </si>
  <si>
    <t>Gemmatimonadales</t>
  </si>
  <si>
    <t>Gemmatimonadaceae</t>
  </si>
  <si>
    <t>Myxococcota</t>
  </si>
  <si>
    <t>Polyangia</t>
  </si>
  <si>
    <t>Blfdi19</t>
  </si>
  <si>
    <t>metagenome</t>
  </si>
  <si>
    <t>Haliangiales</t>
  </si>
  <si>
    <t>Haliangiaceae</t>
  </si>
  <si>
    <t>Haliangium</t>
  </si>
  <si>
    <t>Polyangiales</t>
  </si>
  <si>
    <t>Polyangiaceae</t>
  </si>
  <si>
    <t>Pajaroellobacter</t>
  </si>
  <si>
    <t>Patescibacteria</t>
  </si>
  <si>
    <t>Parcubacteria</t>
  </si>
  <si>
    <t>Saccharimonadia</t>
  </si>
  <si>
    <t>Saccharimonadales</t>
  </si>
  <si>
    <t>Saccharimonadaceae</t>
  </si>
  <si>
    <t>Candidatus_Saccharimonas</t>
  </si>
  <si>
    <t>marine_metagenome</t>
  </si>
  <si>
    <t>uncultured_soil</t>
  </si>
  <si>
    <t>Planctomycetota</t>
  </si>
  <si>
    <t>OM190</t>
  </si>
  <si>
    <t>Planctomycetes</t>
  </si>
  <si>
    <t>Gemmatales</t>
  </si>
  <si>
    <t>Gemmataceae</t>
  </si>
  <si>
    <t>Proteobacteria</t>
  </si>
  <si>
    <t>Alphaproteobacteria</t>
  </si>
  <si>
    <t>Acetobacterales</t>
  </si>
  <si>
    <t>Acetobacteraceae</t>
  </si>
  <si>
    <t>Acetobacter</t>
  </si>
  <si>
    <t>Craurococcus-Caldovatus</t>
  </si>
  <si>
    <t>Gluconacetobacter</t>
  </si>
  <si>
    <t>Gluconacetobacter_liquefaciens</t>
  </si>
  <si>
    <t>Roseomonas</t>
  </si>
  <si>
    <t>Roseomonas_gilardii</t>
  </si>
  <si>
    <t>Azospirillales</t>
  </si>
  <si>
    <t>Azospirillaceae</t>
  </si>
  <si>
    <t>Inquilinaceae</t>
  </si>
  <si>
    <t>Inquilinus</t>
  </si>
  <si>
    <t>Caulobacterales</t>
  </si>
  <si>
    <t>Caulobacteraceae</t>
  </si>
  <si>
    <t>Brevundimonas</t>
  </si>
  <si>
    <t>Brevundimonas_diminuta</t>
  </si>
  <si>
    <t>Parvularculaceae</t>
  </si>
  <si>
    <t>Amphiplicatus</t>
  </si>
  <si>
    <t>Reyranellales</t>
  </si>
  <si>
    <t>Reyranellaceae</t>
  </si>
  <si>
    <t>Reyranella</t>
  </si>
  <si>
    <t>Rhizobiales</t>
  </si>
  <si>
    <t>Beijerinckiaceae</t>
  </si>
  <si>
    <t>1174-901-12</t>
  </si>
  <si>
    <t>Bosea</t>
  </si>
  <si>
    <t>Methylobacterium-Methylorubrum</t>
  </si>
  <si>
    <t>Methylobacterium_komagatae</t>
  </si>
  <si>
    <t>Hyphomicrobiaceae</t>
  </si>
  <si>
    <t>Pedomicrobium</t>
  </si>
  <si>
    <t>Rhizobiaceae</t>
  </si>
  <si>
    <t>Allorhizobium-Neorhizobium-Pararhizobium-Rhizobium</t>
  </si>
  <si>
    <t>Ensifer</t>
  </si>
  <si>
    <t>Ochrobactrum</t>
  </si>
  <si>
    <t>Rhizobiales_Incertae_Sedis</t>
  </si>
  <si>
    <t>Nordella</t>
  </si>
  <si>
    <t>Nordella_oligomobilis</t>
  </si>
  <si>
    <t>Phreatobacter</t>
  </si>
  <si>
    <t>Xanthobacteraceae</t>
  </si>
  <si>
    <t>Bradyrhizobium</t>
  </si>
  <si>
    <t>Rhodobacterales</t>
  </si>
  <si>
    <t>Rhodobacteraceae</t>
  </si>
  <si>
    <t>Paracoccus</t>
  </si>
  <si>
    <t>Rhodobacter</t>
  </si>
  <si>
    <t>Rubellimicrobium</t>
  </si>
  <si>
    <t>Sphingomonadales</t>
  </si>
  <si>
    <t>Sphingomonadaceae</t>
  </si>
  <si>
    <t>MN_122.2a</t>
  </si>
  <si>
    <t>Novosphingobium</t>
  </si>
  <si>
    <t>Sphingobium</t>
  </si>
  <si>
    <t>Sphingobium_yanoikuyae</t>
  </si>
  <si>
    <t>Sphingomonas</t>
  </si>
  <si>
    <t>Sphingomonas_koreensis</t>
  </si>
  <si>
    <t>Sphingopyxis</t>
  </si>
  <si>
    <t>alpha_proteobacterium</t>
  </si>
  <si>
    <t>Gammaproteobacteria</t>
  </si>
  <si>
    <t>Aeromonadales</t>
  </si>
  <si>
    <t>Aeromonadaceae</t>
  </si>
  <si>
    <t>Aeromonas</t>
  </si>
  <si>
    <t>Pseudaeromonas_paramecii</t>
  </si>
  <si>
    <t>Alteromonadales</t>
  </si>
  <si>
    <t>Alteromonadaceae</t>
  </si>
  <si>
    <t>Rheinheimera</t>
  </si>
  <si>
    <t>Burkholderiales</t>
  </si>
  <si>
    <t>Burkholderiaceae</t>
  </si>
  <si>
    <t>Ralstonia</t>
  </si>
  <si>
    <t>Chromobacteriaceae</t>
  </si>
  <si>
    <t>Vogesella</t>
  </si>
  <si>
    <t>Comamonadaceae</t>
  </si>
  <si>
    <t>Aquabacterium</t>
  </si>
  <si>
    <t>Delftia</t>
  </si>
  <si>
    <t>Pseudacidovorax</t>
  </si>
  <si>
    <t>Pseudacidovorax_intermedius</t>
  </si>
  <si>
    <t>Rubrivivax</t>
  </si>
  <si>
    <t>Schlegelella</t>
  </si>
  <si>
    <t>Neisseriaceae</t>
  </si>
  <si>
    <t>Nitrosomonadaceae</t>
  </si>
  <si>
    <t>Ellin6067</t>
  </si>
  <si>
    <t>MND1</t>
  </si>
  <si>
    <t>Oxalobacteraceae</t>
  </si>
  <si>
    <t>Massilia</t>
  </si>
  <si>
    <t>Rhodocyclaceae</t>
  </si>
  <si>
    <t>Sulfuritalea</t>
  </si>
  <si>
    <t>Diplorickettsiales</t>
  </si>
  <si>
    <t>Diplorickettsiaceae</t>
  </si>
  <si>
    <t>Aquicella</t>
  </si>
  <si>
    <t>uncultured_gamma</t>
  </si>
  <si>
    <t>unidentified</t>
  </si>
  <si>
    <t>Enterobacterales</t>
  </si>
  <si>
    <t>Enterobacteriaceae</t>
  </si>
  <si>
    <t>Enterobacter</t>
  </si>
  <si>
    <t>Escherichia-Shigella</t>
  </si>
  <si>
    <t>Malaclemys_terrapin</t>
  </si>
  <si>
    <t>Ga0077536</t>
  </si>
  <si>
    <t>Legionellales</t>
  </si>
  <si>
    <t>Legionellaceae</t>
  </si>
  <si>
    <t>Legionella</t>
  </si>
  <si>
    <t>Pseudomonadales</t>
  </si>
  <si>
    <t>Moraxellaceae</t>
  </si>
  <si>
    <t>Acinetobacter</t>
  </si>
  <si>
    <t>Enhydrobacter</t>
  </si>
  <si>
    <t>Pseudomonadaceae</t>
  </si>
  <si>
    <t>Pseudomonas</t>
  </si>
  <si>
    <t>Pseudomonas_peli</t>
  </si>
  <si>
    <t>Salinisphaerales</t>
  </si>
  <si>
    <t>Solimonadaceae</t>
  </si>
  <si>
    <t>Hydrocarboniphaga</t>
  </si>
  <si>
    <t>Xanthomonadales</t>
  </si>
  <si>
    <t>Xanthomonadaceae</t>
  </si>
  <si>
    <t>Pseudoxanthomonas</t>
  </si>
  <si>
    <t>Pseudoxanthomonas_mexicana</t>
  </si>
  <si>
    <t>Stenotrophomonas</t>
  </si>
  <si>
    <t>Stenotrophomonas_panacihumi</t>
  </si>
  <si>
    <t>Vulcaniibacterium</t>
  </si>
  <si>
    <t>Verrucomicrobiota</t>
  </si>
  <si>
    <t>Chlamydiae</t>
  </si>
  <si>
    <t>Chlamydiales</t>
  </si>
  <si>
    <t>Parachlamydiaceae</t>
  </si>
  <si>
    <t>Neochlamydia</t>
  </si>
  <si>
    <t>Verrucomicrobiae</t>
  </si>
  <si>
    <t>Pedosphaerales</t>
  </si>
  <si>
    <t>Pedosphaeraceae</t>
  </si>
  <si>
    <t>ADurb.Bin063-1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</si>
</sst>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8EA9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10" fontId="1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547A-6FBD-48C1-A3EC-F17D296DD3EE}">
  <dimension ref="A1:AT161"/>
  <sheetViews>
    <sheetView tabSelected="1" workbookViewId="0">
      <selection activeCell="M1" sqref="M1"/>
    </sheetView>
  </sheetViews>
  <sheetFormatPr defaultRowHeight="15" x14ac:dyDescent="0.3"/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7</v>
      </c>
      <c r="AB1" s="3" t="s">
        <v>8</v>
      </c>
      <c r="AC1" s="3" t="s">
        <v>9</v>
      </c>
      <c r="AD1" s="3" t="s">
        <v>10</v>
      </c>
      <c r="AE1" s="3" t="s">
        <v>11</v>
      </c>
      <c r="AF1" s="3" t="s">
        <v>12</v>
      </c>
      <c r="AG1" s="3" t="s">
        <v>13</v>
      </c>
      <c r="AH1" s="3" t="s">
        <v>14</v>
      </c>
      <c r="AI1" s="3" t="s">
        <v>15</v>
      </c>
      <c r="AJ1" s="3" t="s">
        <v>16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21</v>
      </c>
      <c r="AP1" s="3" t="s">
        <v>22</v>
      </c>
      <c r="AQ1" s="3" t="s">
        <v>23</v>
      </c>
      <c r="AR1" s="3" t="s">
        <v>24</v>
      </c>
      <c r="AS1" s="3" t="s">
        <v>25</v>
      </c>
    </row>
    <row r="2" spans="1:46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30</v>
      </c>
      <c r="G2" s="4" t="s">
        <v>31</v>
      </c>
      <c r="H2" s="4">
        <v>0</v>
      </c>
      <c r="I2" s="4">
        <v>0</v>
      </c>
      <c r="J2" s="4">
        <v>0</v>
      </c>
      <c r="K2" s="4">
        <v>0</v>
      </c>
      <c r="L2" s="4">
        <v>9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9</v>
      </c>
      <c r="AA2" s="5">
        <v>0</v>
      </c>
      <c r="AB2" s="5">
        <v>0</v>
      </c>
      <c r="AC2" s="5">
        <v>0</v>
      </c>
      <c r="AD2" s="5">
        <v>0</v>
      </c>
      <c r="AE2" s="5">
        <v>7.2604065827686353E-4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4.0335592126492416E-5</v>
      </c>
      <c r="AT2" t="str">
        <f t="shared" ref="AT2:AT65" si="0">IF(Z2=0,0,"")</f>
        <v/>
      </c>
    </row>
    <row r="3" spans="1:46" x14ac:dyDescent="0.3">
      <c r="A3" s="4" t="s">
        <v>26</v>
      </c>
      <c r="B3" s="4" t="s">
        <v>27</v>
      </c>
      <c r="C3" s="4" t="s">
        <v>28</v>
      </c>
      <c r="D3" s="4" t="s">
        <v>32</v>
      </c>
      <c r="E3" s="4" t="s">
        <v>33</v>
      </c>
      <c r="F3" s="4" t="s">
        <v>34</v>
      </c>
      <c r="G3" s="4" t="s">
        <v>31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6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6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4.8402710551790902E-4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2.6890394750994945E-5</v>
      </c>
      <c r="AT3" t="str">
        <f t="shared" si="0"/>
        <v/>
      </c>
    </row>
    <row r="4" spans="1:46" x14ac:dyDescent="0.3">
      <c r="A4" s="4" t="s">
        <v>26</v>
      </c>
      <c r="B4" s="4" t="s">
        <v>27</v>
      </c>
      <c r="C4" s="4" t="s">
        <v>35</v>
      </c>
      <c r="D4" s="4" t="s">
        <v>36</v>
      </c>
      <c r="E4" s="4" t="s">
        <v>36</v>
      </c>
      <c r="F4" s="4" t="s">
        <v>36</v>
      </c>
      <c r="G4" s="4" t="s">
        <v>37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4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4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3.2268473701193927E-4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1.7926929833996631E-5</v>
      </c>
      <c r="AT4" t="str">
        <f t="shared" si="0"/>
        <v/>
      </c>
    </row>
    <row r="5" spans="1:46" x14ac:dyDescent="0.3">
      <c r="A5" s="4" t="s">
        <v>26</v>
      </c>
      <c r="B5" s="4" t="s">
        <v>27</v>
      </c>
      <c r="C5" s="4" t="s">
        <v>35</v>
      </c>
      <c r="D5" s="4" t="s">
        <v>38</v>
      </c>
      <c r="E5" s="4" t="s">
        <v>39</v>
      </c>
      <c r="F5" s="4" t="s">
        <v>40</v>
      </c>
      <c r="G5" s="4" t="s">
        <v>31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5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5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4.0335592126492409E-4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2.2408662292495788E-5</v>
      </c>
      <c r="AT5" t="str">
        <f t="shared" si="0"/>
        <v/>
      </c>
    </row>
    <row r="6" spans="1:46" x14ac:dyDescent="0.3">
      <c r="A6" s="4" t="s">
        <v>26</v>
      </c>
      <c r="B6" s="4" t="s">
        <v>27</v>
      </c>
      <c r="C6" s="4" t="s">
        <v>35</v>
      </c>
      <c r="D6" s="4" t="s">
        <v>38</v>
      </c>
      <c r="E6" s="4" t="s">
        <v>39</v>
      </c>
      <c r="F6" s="4" t="s">
        <v>31</v>
      </c>
      <c r="G6" s="4" t="s">
        <v>31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3</v>
      </c>
      <c r="V6" s="4">
        <v>0</v>
      </c>
      <c r="W6" s="4">
        <v>0</v>
      </c>
      <c r="X6" s="4">
        <v>0</v>
      </c>
      <c r="Y6" s="4">
        <v>0</v>
      </c>
      <c r="Z6" s="4">
        <v>3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2.4201355275895451E-4</v>
      </c>
      <c r="AO6" s="5">
        <v>0</v>
      </c>
      <c r="AP6" s="5">
        <v>0</v>
      </c>
      <c r="AQ6" s="5">
        <v>0</v>
      </c>
      <c r="AR6" s="5">
        <v>0</v>
      </c>
      <c r="AS6" s="5">
        <v>1.3445197375497473E-5</v>
      </c>
      <c r="AT6" t="str">
        <f t="shared" si="0"/>
        <v/>
      </c>
    </row>
    <row r="7" spans="1:46" x14ac:dyDescent="0.3">
      <c r="A7" s="4" t="s">
        <v>26</v>
      </c>
      <c r="B7" s="4" t="s">
        <v>27</v>
      </c>
      <c r="C7" s="4" t="s">
        <v>41</v>
      </c>
      <c r="D7" s="4" t="s">
        <v>42</v>
      </c>
      <c r="E7" s="4" t="s">
        <v>42</v>
      </c>
      <c r="F7" s="4" t="s">
        <v>42</v>
      </c>
      <c r="G7" s="4" t="s">
        <v>31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3</v>
      </c>
      <c r="X7" s="4">
        <v>0</v>
      </c>
      <c r="Y7" s="4">
        <v>0</v>
      </c>
      <c r="Z7" s="4">
        <v>3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2.4201355275895451E-4</v>
      </c>
      <c r="AQ7" s="5">
        <v>0</v>
      </c>
      <c r="AR7" s="5">
        <v>0</v>
      </c>
      <c r="AS7" s="5">
        <v>1.3445197375497473E-5</v>
      </c>
      <c r="AT7" t="str">
        <f t="shared" si="0"/>
        <v/>
      </c>
    </row>
    <row r="8" spans="1:46" x14ac:dyDescent="0.3">
      <c r="A8" s="4" t="s">
        <v>26</v>
      </c>
      <c r="B8" s="4" t="s">
        <v>27</v>
      </c>
      <c r="C8" s="4" t="s">
        <v>41</v>
      </c>
      <c r="D8" s="4" t="s">
        <v>42</v>
      </c>
      <c r="E8" s="4" t="s">
        <v>42</v>
      </c>
      <c r="F8" s="4" t="s">
        <v>42</v>
      </c>
      <c r="G8" s="4" t="s">
        <v>43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3</v>
      </c>
      <c r="X8" s="4">
        <v>0</v>
      </c>
      <c r="Y8" s="4">
        <v>0</v>
      </c>
      <c r="Z8" s="4">
        <v>3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2.4201355275895451E-4</v>
      </c>
      <c r="AQ8" s="5">
        <v>0</v>
      </c>
      <c r="AR8" s="5">
        <v>0</v>
      </c>
      <c r="AS8" s="5">
        <v>1.3445197375497473E-5</v>
      </c>
      <c r="AT8" t="str">
        <f t="shared" si="0"/>
        <v/>
      </c>
    </row>
    <row r="9" spans="1:46" x14ac:dyDescent="0.3">
      <c r="A9" s="4" t="s">
        <v>26</v>
      </c>
      <c r="B9" s="4" t="s">
        <v>27</v>
      </c>
      <c r="C9" s="4" t="s">
        <v>44</v>
      </c>
      <c r="D9" s="4" t="s">
        <v>45</v>
      </c>
      <c r="E9" s="4" t="s">
        <v>30</v>
      </c>
      <c r="F9" s="4" t="s">
        <v>30</v>
      </c>
      <c r="G9" s="4" t="s">
        <v>37</v>
      </c>
      <c r="H9" s="4">
        <v>0</v>
      </c>
      <c r="I9" s="4">
        <v>0</v>
      </c>
      <c r="J9" s="4">
        <v>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5">
        <v>0</v>
      </c>
      <c r="AB9" s="5">
        <v>0</v>
      </c>
      <c r="AC9" s="5">
        <v>0</v>
      </c>
      <c r="AD9" s="5">
        <v>8.0671184252984832E-5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4.4817324584991578E-6</v>
      </c>
      <c r="AT9" t="str">
        <f t="shared" si="0"/>
        <v/>
      </c>
    </row>
    <row r="10" spans="1:46" x14ac:dyDescent="0.3">
      <c r="A10" s="4" t="s">
        <v>26</v>
      </c>
      <c r="B10" s="4" t="s">
        <v>46</v>
      </c>
      <c r="C10" s="4" t="s">
        <v>47</v>
      </c>
      <c r="D10" s="4" t="s">
        <v>30</v>
      </c>
      <c r="E10" s="4" t="s">
        <v>30</v>
      </c>
      <c r="F10" s="4" t="s">
        <v>30</v>
      </c>
      <c r="G10" s="4" t="s">
        <v>31</v>
      </c>
      <c r="H10" s="4">
        <v>0</v>
      </c>
      <c r="I10" s="4">
        <v>0</v>
      </c>
      <c r="J10" s="4">
        <v>0</v>
      </c>
      <c r="K10" s="4">
        <v>0</v>
      </c>
      <c r="L10" s="4">
        <v>8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8</v>
      </c>
      <c r="AA10" s="5">
        <v>0</v>
      </c>
      <c r="AB10" s="5">
        <v>0</v>
      </c>
      <c r="AC10" s="5">
        <v>0</v>
      </c>
      <c r="AD10" s="5">
        <v>0</v>
      </c>
      <c r="AE10" s="5">
        <v>6.4536947402387866E-4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3.5853859667993262E-5</v>
      </c>
      <c r="AT10" t="str">
        <f t="shared" si="0"/>
        <v/>
      </c>
    </row>
    <row r="11" spans="1:46" x14ac:dyDescent="0.3">
      <c r="A11" s="4" t="s">
        <v>26</v>
      </c>
      <c r="B11" s="4" t="s">
        <v>46</v>
      </c>
      <c r="C11" s="4" t="s">
        <v>48</v>
      </c>
      <c r="D11" s="4" t="s">
        <v>49</v>
      </c>
      <c r="E11" s="4" t="s">
        <v>50</v>
      </c>
      <c r="F11" s="4" t="s">
        <v>51</v>
      </c>
      <c r="G11" s="4" t="s">
        <v>52</v>
      </c>
      <c r="H11" s="4">
        <v>0</v>
      </c>
      <c r="I11" s="4">
        <v>1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4</v>
      </c>
      <c r="AA11" s="5">
        <v>0</v>
      </c>
      <c r="AB11" s="5">
        <v>8.0671184252984832E-5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2.4201355275895451E-4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1.7926929833996631E-5</v>
      </c>
      <c r="AT11" t="str">
        <f t="shared" si="0"/>
        <v/>
      </c>
    </row>
    <row r="12" spans="1:46" x14ac:dyDescent="0.3">
      <c r="A12" s="4" t="s">
        <v>26</v>
      </c>
      <c r="B12" s="4" t="s">
        <v>46</v>
      </c>
      <c r="C12" s="4" t="s">
        <v>48</v>
      </c>
      <c r="D12" s="4" t="s">
        <v>49</v>
      </c>
      <c r="E12" s="4" t="s">
        <v>50</v>
      </c>
      <c r="F12" s="4" t="s">
        <v>51</v>
      </c>
      <c r="G12" s="4" t="s">
        <v>31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1</v>
      </c>
      <c r="V12" s="4">
        <v>0</v>
      </c>
      <c r="W12" s="4">
        <v>0</v>
      </c>
      <c r="X12" s="4">
        <v>0</v>
      </c>
      <c r="Y12" s="4">
        <v>0</v>
      </c>
      <c r="Z12" s="4">
        <v>1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8.0671184252984832E-5</v>
      </c>
      <c r="AO12" s="5">
        <v>0</v>
      </c>
      <c r="AP12" s="5">
        <v>0</v>
      </c>
      <c r="AQ12" s="5">
        <v>0</v>
      </c>
      <c r="AR12" s="5">
        <v>0</v>
      </c>
      <c r="AS12" s="5">
        <v>4.4817324584991578E-6</v>
      </c>
      <c r="AT12" t="str">
        <f t="shared" si="0"/>
        <v/>
      </c>
    </row>
    <row r="13" spans="1:46" x14ac:dyDescent="0.3">
      <c r="A13" s="4" t="s">
        <v>26</v>
      </c>
      <c r="B13" s="4" t="s">
        <v>46</v>
      </c>
      <c r="C13" s="4" t="s">
        <v>48</v>
      </c>
      <c r="D13" s="4" t="s">
        <v>53</v>
      </c>
      <c r="E13" s="4" t="s">
        <v>54</v>
      </c>
      <c r="F13" s="4" t="s">
        <v>55</v>
      </c>
      <c r="G13" s="4" t="s">
        <v>56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16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16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1.2907389480477571E-3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7.1707719335986525E-5</v>
      </c>
      <c r="AT13" t="str">
        <f t="shared" si="0"/>
        <v/>
      </c>
    </row>
    <row r="14" spans="1:46" x14ac:dyDescent="0.3">
      <c r="A14" s="4" t="s">
        <v>26</v>
      </c>
      <c r="B14" s="4" t="s">
        <v>46</v>
      </c>
      <c r="C14" s="4" t="s">
        <v>48</v>
      </c>
      <c r="D14" s="4" t="s">
        <v>53</v>
      </c>
      <c r="E14" s="4" t="s">
        <v>54</v>
      </c>
      <c r="F14" s="4" t="s">
        <v>55</v>
      </c>
      <c r="G14" s="4" t="s">
        <v>57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7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2</v>
      </c>
      <c r="Y14" s="4">
        <v>0</v>
      </c>
      <c r="Z14" s="4">
        <v>9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5.6469828977089378E-4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1.6134236850596969E-4</v>
      </c>
      <c r="AR14" s="5">
        <v>0</v>
      </c>
      <c r="AS14" s="5">
        <v>4.0335592126492416E-5</v>
      </c>
      <c r="AT14" t="str">
        <f t="shared" si="0"/>
        <v/>
      </c>
    </row>
    <row r="15" spans="1:46" x14ac:dyDescent="0.3">
      <c r="A15" s="4" t="s">
        <v>26</v>
      </c>
      <c r="B15" s="4" t="s">
        <v>46</v>
      </c>
      <c r="C15" s="4" t="s">
        <v>48</v>
      </c>
      <c r="D15" s="4" t="s">
        <v>53</v>
      </c>
      <c r="E15" s="4" t="s">
        <v>54</v>
      </c>
      <c r="F15" s="4" t="s">
        <v>55</v>
      </c>
      <c r="G15" s="4" t="s">
        <v>31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3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3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2.4201355275895451E-4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1.3445197375497473E-5</v>
      </c>
      <c r="AT15" t="str">
        <f t="shared" si="0"/>
        <v/>
      </c>
    </row>
    <row r="16" spans="1:46" x14ac:dyDescent="0.3">
      <c r="A16" s="4" t="s">
        <v>26</v>
      </c>
      <c r="B16" s="4" t="s">
        <v>46</v>
      </c>
      <c r="C16" s="4" t="s">
        <v>48</v>
      </c>
      <c r="D16" s="4" t="s">
        <v>53</v>
      </c>
      <c r="E16" s="4" t="s">
        <v>58</v>
      </c>
      <c r="F16" s="4" t="s">
        <v>59</v>
      </c>
      <c r="G16" s="4" t="s">
        <v>31</v>
      </c>
      <c r="H16" s="4">
        <v>0</v>
      </c>
      <c r="I16" s="4">
        <v>0</v>
      </c>
      <c r="J16" s="4">
        <v>2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2</v>
      </c>
      <c r="AA16" s="5">
        <v>0</v>
      </c>
      <c r="AB16" s="5">
        <v>0</v>
      </c>
      <c r="AC16" s="5">
        <v>1.6134236850596969E-4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8.9634649169983156E-6</v>
      </c>
      <c r="AT16" t="str">
        <f t="shared" si="0"/>
        <v/>
      </c>
    </row>
    <row r="17" spans="1:46" x14ac:dyDescent="0.3">
      <c r="A17" s="4" t="s">
        <v>26</v>
      </c>
      <c r="B17" s="4" t="s">
        <v>46</v>
      </c>
      <c r="C17" s="4" t="s">
        <v>48</v>
      </c>
      <c r="D17" s="4" t="s">
        <v>53</v>
      </c>
      <c r="E17" s="4" t="s">
        <v>60</v>
      </c>
      <c r="F17" s="4" t="s">
        <v>61</v>
      </c>
      <c r="G17" s="4" t="s">
        <v>31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1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8.0671184252984832E-5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4.4817324584991578E-6</v>
      </c>
      <c r="AT17" t="str">
        <f t="shared" si="0"/>
        <v/>
      </c>
    </row>
    <row r="18" spans="1:46" x14ac:dyDescent="0.3">
      <c r="A18" s="4" t="s">
        <v>26</v>
      </c>
      <c r="B18" s="4" t="s">
        <v>46</v>
      </c>
      <c r="C18" s="4" t="s">
        <v>48</v>
      </c>
      <c r="D18" s="4" t="s">
        <v>62</v>
      </c>
      <c r="E18" s="4" t="s">
        <v>63</v>
      </c>
      <c r="F18" s="4" t="s">
        <v>63</v>
      </c>
      <c r="G18" s="4" t="s">
        <v>37</v>
      </c>
      <c r="H18" s="4">
        <v>0</v>
      </c>
      <c r="I18" s="4">
        <v>0</v>
      </c>
      <c r="J18" s="4">
        <v>0</v>
      </c>
      <c r="K18" s="4">
        <v>10</v>
      </c>
      <c r="L18" s="4">
        <v>0</v>
      </c>
      <c r="M18" s="4">
        <v>0</v>
      </c>
      <c r="N18" s="4">
        <v>5</v>
      </c>
      <c r="O18" s="4">
        <v>0</v>
      </c>
      <c r="P18" s="4">
        <v>0</v>
      </c>
      <c r="Q18" s="4">
        <v>0</v>
      </c>
      <c r="R18" s="4">
        <v>8</v>
      </c>
      <c r="S18" s="4">
        <v>0</v>
      </c>
      <c r="T18" s="4">
        <v>0</v>
      </c>
      <c r="U18" s="4">
        <v>0</v>
      </c>
      <c r="V18" s="4">
        <v>5</v>
      </c>
      <c r="W18" s="4">
        <v>0</v>
      </c>
      <c r="X18" s="4">
        <v>0</v>
      </c>
      <c r="Y18" s="4">
        <v>0</v>
      </c>
      <c r="Z18" s="4">
        <v>28</v>
      </c>
      <c r="AA18" s="5">
        <v>0</v>
      </c>
      <c r="AB18" s="5">
        <v>0</v>
      </c>
      <c r="AC18" s="5">
        <v>0</v>
      </c>
      <c r="AD18" s="5">
        <v>8.0671184252984829E-4</v>
      </c>
      <c r="AE18" s="5">
        <v>0</v>
      </c>
      <c r="AF18" s="5">
        <v>0</v>
      </c>
      <c r="AG18" s="5">
        <v>4.0335592126492409E-4</v>
      </c>
      <c r="AH18" s="5">
        <v>0</v>
      </c>
      <c r="AI18" s="5">
        <v>0</v>
      </c>
      <c r="AJ18" s="5">
        <v>0</v>
      </c>
      <c r="AK18" s="5">
        <v>6.4536947402387866E-4</v>
      </c>
      <c r="AL18" s="5">
        <v>0</v>
      </c>
      <c r="AM18" s="5">
        <v>0</v>
      </c>
      <c r="AN18" s="5">
        <v>0</v>
      </c>
      <c r="AO18" s="5">
        <v>4.0335592126492409E-4</v>
      </c>
      <c r="AP18" s="5">
        <v>0</v>
      </c>
      <c r="AQ18" s="5">
        <v>0</v>
      </c>
      <c r="AR18" s="5">
        <v>0</v>
      </c>
      <c r="AS18" s="5">
        <v>1.2548850883797641E-4</v>
      </c>
      <c r="AT18" t="str">
        <f t="shared" si="0"/>
        <v/>
      </c>
    </row>
    <row r="19" spans="1:46" x14ac:dyDescent="0.3">
      <c r="A19" s="4" t="s">
        <v>26</v>
      </c>
      <c r="B19" s="4" t="s">
        <v>46</v>
      </c>
      <c r="C19" s="4" t="s">
        <v>48</v>
      </c>
      <c r="D19" s="4" t="s">
        <v>62</v>
      </c>
      <c r="E19" s="4" t="s">
        <v>63</v>
      </c>
      <c r="F19" s="4" t="s">
        <v>31</v>
      </c>
      <c r="G19" s="4" t="s">
        <v>31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4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4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3.2268473701193927E-4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1.7926929833996631E-5</v>
      </c>
      <c r="AT19" t="str">
        <f t="shared" si="0"/>
        <v/>
      </c>
    </row>
    <row r="20" spans="1:46" x14ac:dyDescent="0.3">
      <c r="A20" s="4" t="s">
        <v>26</v>
      </c>
      <c r="B20" s="4" t="s">
        <v>46</v>
      </c>
      <c r="C20" s="4" t="s">
        <v>48</v>
      </c>
      <c r="D20" s="4" t="s">
        <v>62</v>
      </c>
      <c r="E20" s="4" t="s">
        <v>31</v>
      </c>
      <c r="F20" s="4" t="s">
        <v>31</v>
      </c>
      <c r="G20" s="4" t="s">
        <v>31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8.0671184252984832E-5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4.4817324584991578E-6</v>
      </c>
      <c r="AT20" t="str">
        <f t="shared" si="0"/>
        <v/>
      </c>
    </row>
    <row r="21" spans="1:46" x14ac:dyDescent="0.3">
      <c r="A21" s="4" t="s">
        <v>26</v>
      </c>
      <c r="B21" s="4" t="s">
        <v>46</v>
      </c>
      <c r="C21" s="4" t="s">
        <v>48</v>
      </c>
      <c r="D21" s="4" t="s">
        <v>64</v>
      </c>
      <c r="E21" s="4" t="s">
        <v>65</v>
      </c>
      <c r="F21" s="4" t="s">
        <v>66</v>
      </c>
      <c r="G21" s="4" t="s">
        <v>31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6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6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4.8402710551790902E-4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2.6890394750994945E-5</v>
      </c>
      <c r="AT21" t="str">
        <f t="shared" si="0"/>
        <v/>
      </c>
    </row>
    <row r="22" spans="1:46" x14ac:dyDescent="0.3">
      <c r="A22" s="4" t="s">
        <v>26</v>
      </c>
      <c r="B22" s="4" t="s">
        <v>46</v>
      </c>
      <c r="C22" s="4" t="s">
        <v>48</v>
      </c>
      <c r="D22" s="4" t="s">
        <v>64</v>
      </c>
      <c r="E22" s="4" t="s">
        <v>67</v>
      </c>
      <c r="F22" s="4" t="s">
        <v>68</v>
      </c>
      <c r="G22" s="4" t="s">
        <v>31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7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3</v>
      </c>
      <c r="V22" s="4">
        <v>0</v>
      </c>
      <c r="W22" s="4">
        <v>0</v>
      </c>
      <c r="X22" s="4">
        <v>0</v>
      </c>
      <c r="Y22" s="4">
        <v>0</v>
      </c>
      <c r="Z22" s="4">
        <v>10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5.6469828977089378E-4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2.4201355275895451E-4</v>
      </c>
      <c r="AO22" s="5">
        <v>0</v>
      </c>
      <c r="AP22" s="5">
        <v>0</v>
      </c>
      <c r="AQ22" s="5">
        <v>0</v>
      </c>
      <c r="AR22" s="5">
        <v>0</v>
      </c>
      <c r="AS22" s="5">
        <v>4.4817324584991576E-5</v>
      </c>
      <c r="AT22" t="str">
        <f t="shared" si="0"/>
        <v/>
      </c>
    </row>
    <row r="23" spans="1:46" x14ac:dyDescent="0.3">
      <c r="A23" s="4" t="s">
        <v>26</v>
      </c>
      <c r="B23" s="4" t="s">
        <v>46</v>
      </c>
      <c r="C23" s="4" t="s">
        <v>48</v>
      </c>
      <c r="D23" s="4" t="s">
        <v>64</v>
      </c>
      <c r="E23" s="4" t="s">
        <v>69</v>
      </c>
      <c r="F23" s="4" t="s">
        <v>70</v>
      </c>
      <c r="G23" s="4" t="s">
        <v>31</v>
      </c>
      <c r="H23" s="4">
        <v>11</v>
      </c>
      <c r="I23" s="4">
        <v>0</v>
      </c>
      <c r="J23" s="4">
        <v>2</v>
      </c>
      <c r="K23" s="4">
        <v>29</v>
      </c>
      <c r="L23" s="4">
        <v>0</v>
      </c>
      <c r="M23" s="4">
        <v>0</v>
      </c>
      <c r="N23" s="4">
        <v>6</v>
      </c>
      <c r="O23" s="4">
        <v>0</v>
      </c>
      <c r="P23" s="4">
        <v>7</v>
      </c>
      <c r="Q23" s="4">
        <v>0</v>
      </c>
      <c r="R23" s="4">
        <v>9</v>
      </c>
      <c r="S23" s="4">
        <v>7</v>
      </c>
      <c r="T23" s="4">
        <v>9</v>
      </c>
      <c r="U23" s="4">
        <v>7</v>
      </c>
      <c r="V23" s="4">
        <v>0</v>
      </c>
      <c r="W23" s="4">
        <v>0</v>
      </c>
      <c r="X23" s="4">
        <v>0</v>
      </c>
      <c r="Y23" s="4">
        <v>13</v>
      </c>
      <c r="Z23" s="4">
        <v>100</v>
      </c>
      <c r="AA23" s="5">
        <v>8.8738302678283316E-4</v>
      </c>
      <c r="AB23" s="5">
        <v>0</v>
      </c>
      <c r="AC23" s="5">
        <v>1.6134236850596969E-4</v>
      </c>
      <c r="AD23" s="5">
        <v>2.33946434333656E-3</v>
      </c>
      <c r="AE23" s="5">
        <v>0</v>
      </c>
      <c r="AF23" s="5">
        <v>0</v>
      </c>
      <c r="AG23" s="5">
        <v>4.8402710551790902E-4</v>
      </c>
      <c r="AH23" s="5">
        <v>0</v>
      </c>
      <c r="AI23" s="5">
        <v>5.6469828977089378E-4</v>
      </c>
      <c r="AJ23" s="5">
        <v>0</v>
      </c>
      <c r="AK23" s="5">
        <v>7.2604065827686353E-4</v>
      </c>
      <c r="AL23" s="5">
        <v>5.6469828977089378E-4</v>
      </c>
      <c r="AM23" s="5">
        <v>7.2604065827686353E-4</v>
      </c>
      <c r="AN23" s="5">
        <v>5.6469828977089378E-4</v>
      </c>
      <c r="AO23" s="5">
        <v>0</v>
      </c>
      <c r="AP23" s="5">
        <v>0</v>
      </c>
      <c r="AQ23" s="5">
        <v>0</v>
      </c>
      <c r="AR23" s="5">
        <v>1.0487253952888029E-3</v>
      </c>
      <c r="AS23" s="5">
        <v>4.4817324584991574E-4</v>
      </c>
      <c r="AT23" t="str">
        <f t="shared" si="0"/>
        <v/>
      </c>
    </row>
    <row r="24" spans="1:46" x14ac:dyDescent="0.3">
      <c r="A24" s="4" t="s">
        <v>26</v>
      </c>
      <c r="B24" s="4" t="s">
        <v>46</v>
      </c>
      <c r="C24" s="4" t="s">
        <v>48</v>
      </c>
      <c r="D24" s="4" t="s">
        <v>64</v>
      </c>
      <c r="E24" s="4" t="s">
        <v>69</v>
      </c>
      <c r="F24" s="4" t="s">
        <v>71</v>
      </c>
      <c r="G24" s="4" t="s">
        <v>72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90</v>
      </c>
      <c r="V24" s="4">
        <v>0</v>
      </c>
      <c r="W24" s="4">
        <v>0</v>
      </c>
      <c r="X24" s="4">
        <v>0</v>
      </c>
      <c r="Y24" s="4">
        <v>0</v>
      </c>
      <c r="Z24" s="4">
        <v>90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7.2604065827686351E-3</v>
      </c>
      <c r="AO24" s="5">
        <v>0</v>
      </c>
      <c r="AP24" s="5">
        <v>0</v>
      </c>
      <c r="AQ24" s="5">
        <v>0</v>
      </c>
      <c r="AR24" s="5">
        <v>0</v>
      </c>
      <c r="AS24" s="5">
        <v>4.0335592126492415E-4</v>
      </c>
      <c r="AT24" t="str">
        <f t="shared" si="0"/>
        <v/>
      </c>
    </row>
    <row r="25" spans="1:46" x14ac:dyDescent="0.3">
      <c r="A25" s="4" t="s">
        <v>26</v>
      </c>
      <c r="B25" s="4" t="s">
        <v>46</v>
      </c>
      <c r="C25" s="4" t="s">
        <v>48</v>
      </c>
      <c r="D25" s="4" t="s">
        <v>64</v>
      </c>
      <c r="E25" s="4" t="s">
        <v>69</v>
      </c>
      <c r="F25" s="4" t="s">
        <v>73</v>
      </c>
      <c r="G25" s="4" t="s">
        <v>31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4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4</v>
      </c>
      <c r="Y25" s="4">
        <v>0</v>
      </c>
      <c r="Z25" s="4">
        <v>8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3.2268473701193927E-4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3.2268473701193927E-4</v>
      </c>
      <c r="AR25" s="5">
        <v>0</v>
      </c>
      <c r="AS25" s="5">
        <v>3.5853859667993262E-5</v>
      </c>
      <c r="AT25" t="str">
        <f t="shared" si="0"/>
        <v/>
      </c>
    </row>
    <row r="26" spans="1:46" x14ac:dyDescent="0.3">
      <c r="A26" s="4" t="s">
        <v>26</v>
      </c>
      <c r="B26" s="4" t="s">
        <v>46</v>
      </c>
      <c r="C26" s="4" t="s">
        <v>48</v>
      </c>
      <c r="D26" s="4" t="s">
        <v>74</v>
      </c>
      <c r="E26" s="4" t="s">
        <v>75</v>
      </c>
      <c r="F26" s="4" t="s">
        <v>76</v>
      </c>
      <c r="G26" s="4" t="s">
        <v>31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4</v>
      </c>
      <c r="V26" s="4">
        <v>0</v>
      </c>
      <c r="W26" s="4">
        <v>0</v>
      </c>
      <c r="X26" s="4">
        <v>0</v>
      </c>
      <c r="Y26" s="4">
        <v>0</v>
      </c>
      <c r="Z26" s="4">
        <v>4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3.2268473701193927E-4</v>
      </c>
      <c r="AO26" s="5">
        <v>0</v>
      </c>
      <c r="AP26" s="5">
        <v>0</v>
      </c>
      <c r="AQ26" s="5">
        <v>0</v>
      </c>
      <c r="AR26" s="5">
        <v>0</v>
      </c>
      <c r="AS26" s="5">
        <v>1.7926929833996631E-5</v>
      </c>
      <c r="AT26" t="str">
        <f t="shared" si="0"/>
        <v/>
      </c>
    </row>
    <row r="27" spans="1:46" x14ac:dyDescent="0.3">
      <c r="A27" s="4" t="s">
        <v>26</v>
      </c>
      <c r="B27" s="4" t="s">
        <v>46</v>
      </c>
      <c r="C27" s="4" t="s">
        <v>48</v>
      </c>
      <c r="D27" s="4" t="s">
        <v>77</v>
      </c>
      <c r="E27" s="4" t="s">
        <v>78</v>
      </c>
      <c r="F27" s="4" t="s">
        <v>79</v>
      </c>
      <c r="G27" s="4" t="s">
        <v>31</v>
      </c>
      <c r="H27" s="4">
        <v>0</v>
      </c>
      <c r="I27" s="4">
        <v>1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28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10</v>
      </c>
      <c r="V27" s="4">
        <v>0</v>
      </c>
      <c r="W27" s="4">
        <v>0</v>
      </c>
      <c r="X27" s="4">
        <v>0</v>
      </c>
      <c r="Y27" s="4">
        <v>0</v>
      </c>
      <c r="Z27" s="4">
        <v>39</v>
      </c>
      <c r="AA27" s="5">
        <v>0</v>
      </c>
      <c r="AB27" s="5">
        <v>8.0671184252984832E-5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2.2587931590835751E-3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8.0671184252984829E-4</v>
      </c>
      <c r="AO27" s="5">
        <v>0</v>
      </c>
      <c r="AP27" s="5">
        <v>0</v>
      </c>
      <c r="AQ27" s="5">
        <v>0</v>
      </c>
      <c r="AR27" s="5">
        <v>0</v>
      </c>
      <c r="AS27" s="5">
        <v>1.7478756588146715E-4</v>
      </c>
      <c r="AT27" t="str">
        <f t="shared" si="0"/>
        <v/>
      </c>
    </row>
    <row r="28" spans="1:46" x14ac:dyDescent="0.3">
      <c r="A28" s="4" t="s">
        <v>26</v>
      </c>
      <c r="B28" s="4" t="s">
        <v>46</v>
      </c>
      <c r="C28" s="4" t="s">
        <v>80</v>
      </c>
      <c r="D28" s="4" t="s">
        <v>81</v>
      </c>
      <c r="E28" s="4" t="s">
        <v>82</v>
      </c>
      <c r="F28" s="4" t="s">
        <v>83</v>
      </c>
      <c r="G28" s="4" t="s">
        <v>37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3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2.4201355275895451E-4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1.3445197375497473E-5</v>
      </c>
      <c r="AT28" t="str">
        <f t="shared" si="0"/>
        <v/>
      </c>
    </row>
    <row r="29" spans="1:46" x14ac:dyDescent="0.3">
      <c r="A29" s="4" t="s">
        <v>26</v>
      </c>
      <c r="B29" s="4" t="s">
        <v>84</v>
      </c>
      <c r="C29" s="4" t="s">
        <v>85</v>
      </c>
      <c r="D29" s="4" t="s">
        <v>86</v>
      </c>
      <c r="E29" s="4" t="s">
        <v>87</v>
      </c>
      <c r="F29" s="4" t="s">
        <v>88</v>
      </c>
      <c r="G29" s="4" t="s">
        <v>37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4</v>
      </c>
      <c r="V29" s="4">
        <v>0</v>
      </c>
      <c r="W29" s="4">
        <v>0</v>
      </c>
      <c r="X29" s="4">
        <v>0</v>
      </c>
      <c r="Y29" s="4">
        <v>0</v>
      </c>
      <c r="Z29" s="4">
        <v>4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3.2268473701193927E-4</v>
      </c>
      <c r="AO29" s="5">
        <v>0</v>
      </c>
      <c r="AP29" s="5">
        <v>0</v>
      </c>
      <c r="AQ29" s="5">
        <v>0</v>
      </c>
      <c r="AR29" s="5">
        <v>0</v>
      </c>
      <c r="AS29" s="5">
        <v>1.7926929833996631E-5</v>
      </c>
      <c r="AT29" t="str">
        <f t="shared" si="0"/>
        <v/>
      </c>
    </row>
    <row r="30" spans="1:46" x14ac:dyDescent="0.3">
      <c r="A30" s="4" t="s">
        <v>26</v>
      </c>
      <c r="B30" s="4" t="s">
        <v>84</v>
      </c>
      <c r="C30" s="4" t="s">
        <v>85</v>
      </c>
      <c r="D30" s="4" t="s">
        <v>89</v>
      </c>
      <c r="E30" s="4" t="s">
        <v>90</v>
      </c>
      <c r="F30" s="4" t="s">
        <v>91</v>
      </c>
      <c r="G30" s="4" t="s">
        <v>92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6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6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4.8402710551790902E-4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2.6890394750994945E-5</v>
      </c>
      <c r="AT30" t="str">
        <f t="shared" si="0"/>
        <v/>
      </c>
    </row>
    <row r="31" spans="1:46" x14ac:dyDescent="0.3">
      <c r="A31" s="4" t="s">
        <v>26</v>
      </c>
      <c r="B31" s="4" t="s">
        <v>84</v>
      </c>
      <c r="C31" s="4" t="s">
        <v>85</v>
      </c>
      <c r="D31" s="4" t="s">
        <v>89</v>
      </c>
      <c r="E31" s="4" t="s">
        <v>90</v>
      </c>
      <c r="F31" s="4" t="s">
        <v>91</v>
      </c>
      <c r="G31" s="4" t="s">
        <v>93</v>
      </c>
      <c r="H31" s="4">
        <v>3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3</v>
      </c>
      <c r="AA31" s="5">
        <v>2.4201355275895451E-4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1.3445197375497473E-5</v>
      </c>
      <c r="AT31" t="str">
        <f t="shared" si="0"/>
        <v/>
      </c>
    </row>
    <row r="32" spans="1:46" x14ac:dyDescent="0.3">
      <c r="A32" s="4" t="s">
        <v>26</v>
      </c>
      <c r="B32" s="4" t="s">
        <v>84</v>
      </c>
      <c r="C32" s="4" t="s">
        <v>85</v>
      </c>
      <c r="D32" s="4" t="s">
        <v>94</v>
      </c>
      <c r="E32" s="4" t="s">
        <v>95</v>
      </c>
      <c r="F32" s="4" t="s">
        <v>96</v>
      </c>
      <c r="G32" s="4" t="s">
        <v>97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7</v>
      </c>
      <c r="V32" s="4">
        <v>0</v>
      </c>
      <c r="W32" s="4">
        <v>0</v>
      </c>
      <c r="X32" s="4">
        <v>0</v>
      </c>
      <c r="Y32" s="4">
        <v>0</v>
      </c>
      <c r="Z32" s="4">
        <v>7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5.6469828977089378E-4</v>
      </c>
      <c r="AO32" s="5">
        <v>0</v>
      </c>
      <c r="AP32" s="5">
        <v>0</v>
      </c>
      <c r="AQ32" s="5">
        <v>0</v>
      </c>
      <c r="AR32" s="5">
        <v>0</v>
      </c>
      <c r="AS32" s="5">
        <v>3.1372127209494102E-5</v>
      </c>
      <c r="AT32" t="str">
        <f t="shared" si="0"/>
        <v/>
      </c>
    </row>
    <row r="33" spans="1:46" x14ac:dyDescent="0.3">
      <c r="A33" s="4" t="s">
        <v>26</v>
      </c>
      <c r="B33" s="4" t="s">
        <v>84</v>
      </c>
      <c r="C33" s="4" t="s">
        <v>85</v>
      </c>
      <c r="D33" s="4" t="s">
        <v>94</v>
      </c>
      <c r="E33" s="4" t="s">
        <v>98</v>
      </c>
      <c r="F33" s="4" t="s">
        <v>99</v>
      </c>
      <c r="G33" s="4" t="s">
        <v>31</v>
      </c>
      <c r="H33" s="4">
        <v>0</v>
      </c>
      <c r="I33" s="4">
        <v>0</v>
      </c>
      <c r="J33" s="4">
        <v>0</v>
      </c>
      <c r="K33" s="4">
        <v>3</v>
      </c>
      <c r="L33" s="4">
        <v>0</v>
      </c>
      <c r="M33" s="4">
        <v>0</v>
      </c>
      <c r="N33" s="4">
        <v>0</v>
      </c>
      <c r="O33" s="4">
        <v>0</v>
      </c>
      <c r="P33" s="4">
        <v>6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9</v>
      </c>
      <c r="AA33" s="5">
        <v>0</v>
      </c>
      <c r="AB33" s="5">
        <v>0</v>
      </c>
      <c r="AC33" s="5">
        <v>0</v>
      </c>
      <c r="AD33" s="5">
        <v>2.4201355275895451E-4</v>
      </c>
      <c r="AE33" s="5">
        <v>0</v>
      </c>
      <c r="AF33" s="5">
        <v>0</v>
      </c>
      <c r="AG33" s="5">
        <v>0</v>
      </c>
      <c r="AH33" s="5">
        <v>0</v>
      </c>
      <c r="AI33" s="5">
        <v>4.8402710551790902E-4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4.0335592126492416E-5</v>
      </c>
      <c r="AT33" t="str">
        <f t="shared" si="0"/>
        <v/>
      </c>
    </row>
    <row r="34" spans="1:46" x14ac:dyDescent="0.3">
      <c r="A34" s="4" t="s">
        <v>26</v>
      </c>
      <c r="B34" s="4" t="s">
        <v>84</v>
      </c>
      <c r="C34" s="4" t="s">
        <v>85</v>
      </c>
      <c r="D34" s="4" t="s">
        <v>94</v>
      </c>
      <c r="E34" s="4" t="s">
        <v>98</v>
      </c>
      <c r="F34" s="4" t="s">
        <v>100</v>
      </c>
      <c r="G34" s="4" t="s">
        <v>31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5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4</v>
      </c>
      <c r="V34" s="4">
        <v>0</v>
      </c>
      <c r="W34" s="4">
        <v>0</v>
      </c>
      <c r="X34" s="4">
        <v>0</v>
      </c>
      <c r="Y34" s="4">
        <v>0</v>
      </c>
      <c r="Z34" s="4">
        <v>9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4.0335592126492409E-4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3.2268473701193927E-4</v>
      </c>
      <c r="AO34" s="5">
        <v>0</v>
      </c>
      <c r="AP34" s="5">
        <v>0</v>
      </c>
      <c r="AQ34" s="5">
        <v>0</v>
      </c>
      <c r="AR34" s="5">
        <v>0</v>
      </c>
      <c r="AS34" s="5">
        <v>4.0335592126492416E-5</v>
      </c>
      <c r="AT34" t="str">
        <f t="shared" si="0"/>
        <v/>
      </c>
    </row>
    <row r="35" spans="1:46" x14ac:dyDescent="0.3">
      <c r="A35" s="4" t="s">
        <v>26</v>
      </c>
      <c r="B35" s="4" t="s">
        <v>84</v>
      </c>
      <c r="C35" s="4" t="s">
        <v>85</v>
      </c>
      <c r="D35" s="4" t="s">
        <v>101</v>
      </c>
      <c r="E35" s="4" t="s">
        <v>102</v>
      </c>
      <c r="F35" s="4" t="s">
        <v>103</v>
      </c>
      <c r="G35" s="4" t="s">
        <v>37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1</v>
      </c>
      <c r="Y35" s="4">
        <v>0</v>
      </c>
      <c r="Z35" s="4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8.0671184252984832E-5</v>
      </c>
      <c r="AR35" s="5">
        <v>0</v>
      </c>
      <c r="AS35" s="5">
        <v>4.4817324584991578E-6</v>
      </c>
      <c r="AT35" t="str">
        <f t="shared" si="0"/>
        <v/>
      </c>
    </row>
    <row r="36" spans="1:46" x14ac:dyDescent="0.3">
      <c r="A36" s="4" t="s">
        <v>26</v>
      </c>
      <c r="B36" s="4" t="s">
        <v>104</v>
      </c>
      <c r="C36" s="4" t="s">
        <v>105</v>
      </c>
      <c r="D36" s="4" t="s">
        <v>106</v>
      </c>
      <c r="E36" s="4" t="s">
        <v>107</v>
      </c>
      <c r="F36" s="4" t="s">
        <v>108</v>
      </c>
      <c r="G36" s="4" t="s">
        <v>109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4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3.2268473701193927E-4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1.7926929833996631E-5</v>
      </c>
      <c r="AT36" t="str">
        <f t="shared" si="0"/>
        <v/>
      </c>
    </row>
    <row r="37" spans="1:46" x14ac:dyDescent="0.3">
      <c r="A37" s="4" t="s">
        <v>26</v>
      </c>
      <c r="B37" s="4" t="s">
        <v>110</v>
      </c>
      <c r="C37" s="4" t="s">
        <v>111</v>
      </c>
      <c r="D37" s="4" t="s">
        <v>112</v>
      </c>
      <c r="E37" s="4" t="s">
        <v>113</v>
      </c>
      <c r="F37" s="4" t="s">
        <v>30</v>
      </c>
      <c r="G37" s="4" t="s">
        <v>31</v>
      </c>
      <c r="H37" s="4">
        <v>0</v>
      </c>
      <c r="I37" s="4">
        <v>0</v>
      </c>
      <c r="J37" s="4">
        <v>0</v>
      </c>
      <c r="K37" s="4">
        <v>0</v>
      </c>
      <c r="L37" s="4">
        <v>6</v>
      </c>
      <c r="M37" s="4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5</v>
      </c>
      <c r="T37" s="4">
        <v>0</v>
      </c>
      <c r="U37" s="4">
        <v>8</v>
      </c>
      <c r="V37" s="4">
        <v>0</v>
      </c>
      <c r="W37" s="4">
        <v>0</v>
      </c>
      <c r="X37" s="4">
        <v>0</v>
      </c>
      <c r="Y37" s="4">
        <v>0</v>
      </c>
      <c r="Z37" s="4">
        <v>20</v>
      </c>
      <c r="AA37" s="5">
        <v>0</v>
      </c>
      <c r="AB37" s="5">
        <v>0</v>
      </c>
      <c r="AC37" s="5">
        <v>0</v>
      </c>
      <c r="AD37" s="5">
        <v>0</v>
      </c>
      <c r="AE37" s="5">
        <v>4.8402710551790902E-4</v>
      </c>
      <c r="AF37" s="5">
        <v>8.0671184252984832E-5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4.0335592126492409E-4</v>
      </c>
      <c r="AM37" s="5">
        <v>0</v>
      </c>
      <c r="AN37" s="5">
        <v>6.4536947402387866E-4</v>
      </c>
      <c r="AO37" s="5">
        <v>0</v>
      </c>
      <c r="AP37" s="5">
        <v>0</v>
      </c>
      <c r="AQ37" s="5">
        <v>0</v>
      </c>
      <c r="AR37" s="5">
        <v>0</v>
      </c>
      <c r="AS37" s="5">
        <v>8.9634649169983153E-5</v>
      </c>
      <c r="AT37" t="str">
        <f t="shared" si="0"/>
        <v/>
      </c>
    </row>
    <row r="38" spans="1:46" x14ac:dyDescent="0.3">
      <c r="A38" s="4" t="s">
        <v>26</v>
      </c>
      <c r="B38" s="4" t="s">
        <v>110</v>
      </c>
      <c r="C38" s="4" t="s">
        <v>114</v>
      </c>
      <c r="D38" s="4" t="s">
        <v>115</v>
      </c>
      <c r="E38" s="4" t="s">
        <v>116</v>
      </c>
      <c r="F38" s="4" t="s">
        <v>116</v>
      </c>
      <c r="G38" s="4" t="s">
        <v>31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5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5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4.0335592126492409E-4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2.2408662292495788E-5</v>
      </c>
      <c r="AT38" t="str">
        <f t="shared" si="0"/>
        <v/>
      </c>
    </row>
    <row r="39" spans="1:46" x14ac:dyDescent="0.3">
      <c r="A39" s="4" t="s">
        <v>26</v>
      </c>
      <c r="B39" s="4" t="s">
        <v>110</v>
      </c>
      <c r="C39" s="4" t="s">
        <v>117</v>
      </c>
      <c r="D39" s="4" t="s">
        <v>117</v>
      </c>
      <c r="E39" s="4" t="s">
        <v>117</v>
      </c>
      <c r="F39" s="4" t="s">
        <v>117</v>
      </c>
      <c r="G39" s="4" t="s">
        <v>118</v>
      </c>
      <c r="H39" s="4">
        <v>0</v>
      </c>
      <c r="I39" s="4">
        <v>0</v>
      </c>
      <c r="J39" s="4">
        <v>0</v>
      </c>
      <c r="K39" s="4">
        <v>0</v>
      </c>
      <c r="L39" s="4">
        <v>12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12</v>
      </c>
      <c r="AA39" s="5">
        <v>0</v>
      </c>
      <c r="AB39" s="5">
        <v>0</v>
      </c>
      <c r="AC39" s="5">
        <v>0</v>
      </c>
      <c r="AD39" s="5">
        <v>0</v>
      </c>
      <c r="AE39" s="5">
        <v>9.6805421103581804E-4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5.378078950198989E-5</v>
      </c>
      <c r="AT39" t="str">
        <f t="shared" si="0"/>
        <v/>
      </c>
    </row>
    <row r="40" spans="1:46" x14ac:dyDescent="0.3">
      <c r="A40" s="4" t="s">
        <v>26</v>
      </c>
      <c r="B40" s="4" t="s">
        <v>110</v>
      </c>
      <c r="C40" s="4" t="s">
        <v>117</v>
      </c>
      <c r="D40" s="4" t="s">
        <v>117</v>
      </c>
      <c r="E40" s="4" t="s">
        <v>117</v>
      </c>
      <c r="F40" s="4" t="s">
        <v>117</v>
      </c>
      <c r="G40" s="4" t="s">
        <v>37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6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6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4.8402710551790902E-4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2.6890394750994945E-5</v>
      </c>
      <c r="AT40" t="str">
        <f t="shared" si="0"/>
        <v/>
      </c>
    </row>
    <row r="41" spans="1:46" x14ac:dyDescent="0.3">
      <c r="A41" s="4" t="s">
        <v>26</v>
      </c>
      <c r="B41" s="4" t="s">
        <v>119</v>
      </c>
      <c r="C41" s="4" t="s">
        <v>120</v>
      </c>
      <c r="D41" s="4" t="s">
        <v>121</v>
      </c>
      <c r="E41" s="4" t="s">
        <v>122</v>
      </c>
      <c r="F41" s="4" t="s">
        <v>123</v>
      </c>
      <c r="G41" s="4" t="s">
        <v>37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10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8.0671184252984829E-4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4.4817324584991576E-5</v>
      </c>
      <c r="AT41" t="str">
        <f t="shared" si="0"/>
        <v/>
      </c>
    </row>
    <row r="42" spans="1:46" x14ac:dyDescent="0.3">
      <c r="A42" s="4" t="s">
        <v>26</v>
      </c>
      <c r="B42" s="4" t="s">
        <v>119</v>
      </c>
      <c r="C42" s="4" t="s">
        <v>120</v>
      </c>
      <c r="D42" s="4" t="s">
        <v>121</v>
      </c>
      <c r="E42" s="4" t="s">
        <v>122</v>
      </c>
      <c r="F42" s="4" t="s">
        <v>30</v>
      </c>
      <c r="G42" s="4" t="s">
        <v>31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19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19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1.5327525008067119E-3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8.5152916711483985E-5</v>
      </c>
      <c r="AT42" t="str">
        <f t="shared" si="0"/>
        <v/>
      </c>
    </row>
    <row r="43" spans="1:46" x14ac:dyDescent="0.3">
      <c r="A43" s="4" t="s">
        <v>26</v>
      </c>
      <c r="B43" s="4" t="s">
        <v>124</v>
      </c>
      <c r="C43" s="4" t="s">
        <v>125</v>
      </c>
      <c r="D43" s="4" t="s">
        <v>126</v>
      </c>
      <c r="E43" s="4" t="s">
        <v>126</v>
      </c>
      <c r="F43" s="4" t="s">
        <v>126</v>
      </c>
      <c r="G43" s="4" t="s">
        <v>127</v>
      </c>
      <c r="H43" s="4">
        <v>0</v>
      </c>
      <c r="I43" s="4">
        <v>121</v>
      </c>
      <c r="J43" s="4">
        <v>0</v>
      </c>
      <c r="K43" s="4">
        <v>6</v>
      </c>
      <c r="L43" s="4">
        <v>2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8</v>
      </c>
      <c r="V43" s="4">
        <v>0</v>
      </c>
      <c r="W43" s="4">
        <v>2</v>
      </c>
      <c r="X43" s="4">
        <v>0</v>
      </c>
      <c r="Y43" s="4">
        <v>0</v>
      </c>
      <c r="Z43" s="4">
        <v>139</v>
      </c>
      <c r="AA43" s="5">
        <v>0</v>
      </c>
      <c r="AB43" s="5">
        <v>9.7612132946111648E-3</v>
      </c>
      <c r="AC43" s="5">
        <v>0</v>
      </c>
      <c r="AD43" s="5">
        <v>4.8402710551790902E-4</v>
      </c>
      <c r="AE43" s="5">
        <v>1.6134236850596969E-4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6.4536947402387866E-4</v>
      </c>
      <c r="AO43" s="5">
        <v>0</v>
      </c>
      <c r="AP43" s="5">
        <v>1.6134236850596969E-4</v>
      </c>
      <c r="AQ43" s="5">
        <v>0</v>
      </c>
      <c r="AR43" s="5">
        <v>0</v>
      </c>
      <c r="AS43" s="5">
        <v>6.2296081173138283E-4</v>
      </c>
      <c r="AT43" t="str">
        <f t="shared" si="0"/>
        <v/>
      </c>
    </row>
    <row r="44" spans="1:46" x14ac:dyDescent="0.3">
      <c r="A44" s="4" t="s">
        <v>26</v>
      </c>
      <c r="B44" s="4" t="s">
        <v>128</v>
      </c>
      <c r="C44" s="4" t="s">
        <v>129</v>
      </c>
      <c r="D44" s="4" t="s">
        <v>130</v>
      </c>
      <c r="E44" s="4" t="s">
        <v>131</v>
      </c>
      <c r="F44" s="4" t="s">
        <v>132</v>
      </c>
      <c r="G44" s="4" t="s">
        <v>133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26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26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2.0974507905776058E-3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1.1652504392097809E-4</v>
      </c>
      <c r="AT44" t="str">
        <f t="shared" si="0"/>
        <v/>
      </c>
    </row>
    <row r="45" spans="1:46" x14ac:dyDescent="0.3">
      <c r="A45" s="4" t="s">
        <v>26</v>
      </c>
      <c r="B45" s="4" t="s">
        <v>134</v>
      </c>
      <c r="C45" s="4" t="s">
        <v>135</v>
      </c>
      <c r="D45" s="4" t="s">
        <v>136</v>
      </c>
      <c r="E45" s="4" t="s">
        <v>137</v>
      </c>
      <c r="F45" s="4" t="s">
        <v>138</v>
      </c>
      <c r="G45" s="4" t="s">
        <v>37</v>
      </c>
      <c r="H45" s="4">
        <v>0</v>
      </c>
      <c r="I45" s="4">
        <v>0</v>
      </c>
      <c r="J45" s="4">
        <v>0</v>
      </c>
      <c r="K45" s="4">
        <v>15</v>
      </c>
      <c r="L45" s="4">
        <v>8</v>
      </c>
      <c r="M45" s="4">
        <v>0</v>
      </c>
      <c r="N45" s="4">
        <v>0</v>
      </c>
      <c r="O45" s="4">
        <v>0</v>
      </c>
      <c r="P45" s="4">
        <v>22</v>
      </c>
      <c r="Q45" s="4">
        <v>9</v>
      </c>
      <c r="R45" s="4">
        <v>9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63</v>
      </c>
      <c r="AA45" s="5">
        <v>0</v>
      </c>
      <c r="AB45" s="5">
        <v>0</v>
      </c>
      <c r="AC45" s="5">
        <v>0</v>
      </c>
      <c r="AD45" s="5">
        <v>1.210067763794772E-3</v>
      </c>
      <c r="AE45" s="5">
        <v>6.4536947402387866E-4</v>
      </c>
      <c r="AF45" s="5">
        <v>0</v>
      </c>
      <c r="AG45" s="5">
        <v>0</v>
      </c>
      <c r="AH45" s="5">
        <v>0</v>
      </c>
      <c r="AI45" s="5">
        <v>1.7747660535656659E-3</v>
      </c>
      <c r="AJ45" s="5">
        <v>7.2604065827686353E-4</v>
      </c>
      <c r="AK45" s="5">
        <v>7.2604065827686353E-4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2.8234914488544689E-4</v>
      </c>
      <c r="AT45" t="str">
        <f t="shared" si="0"/>
        <v/>
      </c>
    </row>
    <row r="46" spans="1:46" x14ac:dyDescent="0.3">
      <c r="A46" s="4" t="s">
        <v>26</v>
      </c>
      <c r="B46" s="4" t="s">
        <v>134</v>
      </c>
      <c r="C46" s="4" t="s">
        <v>30</v>
      </c>
      <c r="D46" s="4" t="s">
        <v>30</v>
      </c>
      <c r="E46" s="4" t="s">
        <v>30</v>
      </c>
      <c r="F46" s="4" t="s">
        <v>30</v>
      </c>
      <c r="G46" s="4" t="s">
        <v>31</v>
      </c>
      <c r="H46" s="4">
        <v>2</v>
      </c>
      <c r="I46" s="4">
        <v>1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2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5</v>
      </c>
      <c r="AA46" s="5">
        <v>1.6134236850596969E-4</v>
      </c>
      <c r="AB46" s="5">
        <v>8.0671184252984832E-5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1.6134236850596969E-4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2.2408662292495788E-5</v>
      </c>
      <c r="AT46" t="str">
        <f t="shared" si="0"/>
        <v/>
      </c>
    </row>
    <row r="47" spans="1:46" x14ac:dyDescent="0.3">
      <c r="A47" s="4" t="s">
        <v>26</v>
      </c>
      <c r="B47" s="4" t="s">
        <v>139</v>
      </c>
      <c r="C47" s="4" t="s">
        <v>140</v>
      </c>
      <c r="D47" s="4" t="s">
        <v>141</v>
      </c>
      <c r="E47" s="4" t="s">
        <v>142</v>
      </c>
      <c r="F47" s="4" t="s">
        <v>143</v>
      </c>
      <c r="G47" s="4" t="s">
        <v>144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4</v>
      </c>
      <c r="V47" s="4">
        <v>0</v>
      </c>
      <c r="W47" s="4">
        <v>0</v>
      </c>
      <c r="X47" s="4">
        <v>0</v>
      </c>
      <c r="Y47" s="4">
        <v>0</v>
      </c>
      <c r="Z47" s="4">
        <v>4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3.2268473701193927E-4</v>
      </c>
      <c r="AO47" s="5">
        <v>0</v>
      </c>
      <c r="AP47" s="5">
        <v>0</v>
      </c>
      <c r="AQ47" s="5">
        <v>0</v>
      </c>
      <c r="AR47" s="5">
        <v>0</v>
      </c>
      <c r="AS47" s="5">
        <v>1.7926929833996631E-5</v>
      </c>
      <c r="AT47" t="str">
        <f t="shared" si="0"/>
        <v/>
      </c>
    </row>
    <row r="48" spans="1:46" x14ac:dyDescent="0.3">
      <c r="A48" s="4" t="s">
        <v>26</v>
      </c>
      <c r="B48" s="4" t="s">
        <v>139</v>
      </c>
      <c r="C48" s="4" t="s">
        <v>140</v>
      </c>
      <c r="D48" s="4" t="s">
        <v>141</v>
      </c>
      <c r="E48" s="4" t="s">
        <v>142</v>
      </c>
      <c r="F48" s="4" t="s">
        <v>143</v>
      </c>
      <c r="G48" s="4" t="s">
        <v>145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7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7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5.6469828977089378E-4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3.1372127209494102E-5</v>
      </c>
      <c r="AT48" t="str">
        <f t="shared" si="0"/>
        <v/>
      </c>
    </row>
    <row r="49" spans="1:46" x14ac:dyDescent="0.3">
      <c r="A49" s="4" t="s">
        <v>26</v>
      </c>
      <c r="B49" s="4" t="s">
        <v>139</v>
      </c>
      <c r="C49" s="4" t="s">
        <v>140</v>
      </c>
      <c r="D49" s="4" t="s">
        <v>141</v>
      </c>
      <c r="E49" s="4" t="s">
        <v>142</v>
      </c>
      <c r="F49" s="4" t="s">
        <v>143</v>
      </c>
      <c r="G49" s="4" t="s">
        <v>31</v>
      </c>
      <c r="H49" s="4">
        <v>1320</v>
      </c>
      <c r="I49" s="4">
        <v>1199</v>
      </c>
      <c r="J49" s="4">
        <v>1723</v>
      </c>
      <c r="K49" s="4">
        <v>1006</v>
      </c>
      <c r="L49" s="4">
        <v>270</v>
      </c>
      <c r="M49" s="4">
        <v>1417</v>
      </c>
      <c r="N49" s="4">
        <v>1760</v>
      </c>
      <c r="O49" s="4">
        <v>1606</v>
      </c>
      <c r="P49" s="4">
        <v>1527</v>
      </c>
      <c r="Q49" s="4">
        <v>1238</v>
      </c>
      <c r="R49" s="4">
        <v>292</v>
      </c>
      <c r="S49" s="4">
        <v>1298</v>
      </c>
      <c r="T49" s="4">
        <v>1483</v>
      </c>
      <c r="U49" s="4">
        <v>1327</v>
      </c>
      <c r="V49" s="4">
        <v>1510</v>
      </c>
      <c r="W49" s="4">
        <v>1011</v>
      </c>
      <c r="X49" s="4">
        <v>293</v>
      </c>
      <c r="Y49" s="4">
        <v>1361</v>
      </c>
      <c r="Z49" s="4">
        <v>21641</v>
      </c>
      <c r="AA49" s="5">
        <v>0.10648596321393999</v>
      </c>
      <c r="AB49" s="5">
        <v>9.672474991932882E-2</v>
      </c>
      <c r="AC49" s="5">
        <v>0.13899645046789291</v>
      </c>
      <c r="AD49" s="5">
        <v>8.1155211358502746E-2</v>
      </c>
      <c r="AE49" s="5">
        <v>2.1781219748305901E-2</v>
      </c>
      <c r="AF49" s="5">
        <v>0.11431106808647951</v>
      </c>
      <c r="AG49" s="5">
        <v>0.14198128428525331</v>
      </c>
      <c r="AH49" s="5">
        <v>0.12955792191029361</v>
      </c>
      <c r="AI49" s="5">
        <v>0.12318489835430781</v>
      </c>
      <c r="AJ49" s="5">
        <v>9.9870926105195226E-2</v>
      </c>
      <c r="AK49" s="5">
        <v>2.3555985801871571E-2</v>
      </c>
      <c r="AL49" s="5">
        <v>0.1047111971603743</v>
      </c>
      <c r="AM49" s="5">
        <v>0.11963536624717649</v>
      </c>
      <c r="AN49" s="5">
        <v>0.1070506615037109</v>
      </c>
      <c r="AO49" s="5">
        <v>0.1218134882220071</v>
      </c>
      <c r="AP49" s="5">
        <v>8.1558567279767666E-2</v>
      </c>
      <c r="AQ49" s="5">
        <v>2.3636656986124559E-2</v>
      </c>
      <c r="AR49" s="5">
        <v>0.1097934817683124</v>
      </c>
      <c r="AS49" s="5">
        <v>9.6989172134380269E-2</v>
      </c>
      <c r="AT49" t="str">
        <f t="shared" si="0"/>
        <v/>
      </c>
    </row>
    <row r="50" spans="1:46" x14ac:dyDescent="0.3">
      <c r="A50" s="4" t="s">
        <v>26</v>
      </c>
      <c r="B50" s="4" t="s">
        <v>139</v>
      </c>
      <c r="C50" s="4" t="s">
        <v>140</v>
      </c>
      <c r="D50" s="4" t="s">
        <v>141</v>
      </c>
      <c r="E50" s="4" t="s">
        <v>142</v>
      </c>
      <c r="F50" s="4" t="s">
        <v>146</v>
      </c>
      <c r="G50" s="4" t="s">
        <v>31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6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6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4.8402710551790902E-4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2.6890394750994945E-5</v>
      </c>
      <c r="AT50" t="str">
        <f t="shared" si="0"/>
        <v/>
      </c>
    </row>
    <row r="51" spans="1:46" x14ac:dyDescent="0.3">
      <c r="A51" s="4" t="s">
        <v>26</v>
      </c>
      <c r="B51" s="4" t="s">
        <v>139</v>
      </c>
      <c r="C51" s="4" t="s">
        <v>140</v>
      </c>
      <c r="D51" s="4" t="s">
        <v>141</v>
      </c>
      <c r="E51" s="4" t="s">
        <v>142</v>
      </c>
      <c r="F51" s="4" t="s">
        <v>147</v>
      </c>
      <c r="G51" s="4" t="s">
        <v>31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11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11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8.8738302678283316E-4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4.929905704349073E-5</v>
      </c>
      <c r="AT51" t="str">
        <f t="shared" si="0"/>
        <v/>
      </c>
    </row>
    <row r="52" spans="1:46" x14ac:dyDescent="0.3">
      <c r="A52" s="4" t="s">
        <v>26</v>
      </c>
      <c r="B52" s="4" t="s">
        <v>139</v>
      </c>
      <c r="C52" s="4" t="s">
        <v>140</v>
      </c>
      <c r="D52" s="4" t="s">
        <v>141</v>
      </c>
      <c r="E52" s="4" t="s">
        <v>148</v>
      </c>
      <c r="F52" s="4" t="s">
        <v>149</v>
      </c>
      <c r="G52" s="4" t="s">
        <v>31</v>
      </c>
      <c r="H52" s="4">
        <v>0</v>
      </c>
      <c r="I52" s="4">
        <v>0</v>
      </c>
      <c r="J52" s="4">
        <v>0</v>
      </c>
      <c r="K52" s="4">
        <v>8</v>
      </c>
      <c r="L52" s="4">
        <v>0</v>
      </c>
      <c r="M52" s="4">
        <v>7</v>
      </c>
      <c r="N52" s="4">
        <v>0</v>
      </c>
      <c r="O52" s="4">
        <v>0</v>
      </c>
      <c r="P52" s="4">
        <v>0</v>
      </c>
      <c r="Q52" s="4">
        <v>0</v>
      </c>
      <c r="R52" s="4">
        <v>4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19</v>
      </c>
      <c r="AA52" s="5">
        <v>0</v>
      </c>
      <c r="AB52" s="5">
        <v>0</v>
      </c>
      <c r="AC52" s="5">
        <v>0</v>
      </c>
      <c r="AD52" s="5">
        <v>6.4536947402387866E-4</v>
      </c>
      <c r="AE52" s="5">
        <v>0</v>
      </c>
      <c r="AF52" s="5">
        <v>5.6469828977089378E-4</v>
      </c>
      <c r="AG52" s="5">
        <v>0</v>
      </c>
      <c r="AH52" s="5">
        <v>0</v>
      </c>
      <c r="AI52" s="5">
        <v>0</v>
      </c>
      <c r="AJ52" s="5">
        <v>0</v>
      </c>
      <c r="AK52" s="5">
        <v>3.2268473701193927E-4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8.5152916711483985E-5</v>
      </c>
      <c r="AT52" t="str">
        <f t="shared" si="0"/>
        <v/>
      </c>
    </row>
    <row r="53" spans="1:46" x14ac:dyDescent="0.3">
      <c r="A53" s="4" t="s">
        <v>26</v>
      </c>
      <c r="B53" s="4" t="s">
        <v>139</v>
      </c>
      <c r="C53" s="4" t="s">
        <v>140</v>
      </c>
      <c r="D53" s="4" t="s">
        <v>150</v>
      </c>
      <c r="E53" s="4" t="s">
        <v>151</v>
      </c>
      <c r="F53" s="4" t="s">
        <v>152</v>
      </c>
      <c r="G53" s="4" t="s">
        <v>31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3</v>
      </c>
      <c r="R53" s="4">
        <v>2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4</v>
      </c>
      <c r="Y53" s="4">
        <v>6</v>
      </c>
      <c r="Z53" s="4">
        <v>15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2.4201355275895451E-4</v>
      </c>
      <c r="AK53" s="5">
        <v>1.6134236850596969E-4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3.2268473701193927E-4</v>
      </c>
      <c r="AR53" s="5">
        <v>4.8402710551790902E-4</v>
      </c>
      <c r="AS53" s="5">
        <v>6.7225986877487358E-5</v>
      </c>
      <c r="AT53" t="str">
        <f t="shared" si="0"/>
        <v/>
      </c>
    </row>
    <row r="54" spans="1:46" x14ac:dyDescent="0.3">
      <c r="A54" s="4" t="s">
        <v>26</v>
      </c>
      <c r="B54" s="4" t="s">
        <v>139</v>
      </c>
      <c r="C54" s="4" t="s">
        <v>140</v>
      </c>
      <c r="D54" s="4" t="s">
        <v>150</v>
      </c>
      <c r="E54" s="4" t="s">
        <v>151</v>
      </c>
      <c r="F54" s="4" t="s">
        <v>152</v>
      </c>
      <c r="G54" s="4" t="s">
        <v>37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3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2.4201355275895451E-4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1.3445197375497473E-5</v>
      </c>
      <c r="AT54" t="str">
        <f t="shared" si="0"/>
        <v/>
      </c>
    </row>
    <row r="55" spans="1:46" x14ac:dyDescent="0.3">
      <c r="A55" s="4" t="s">
        <v>26</v>
      </c>
      <c r="B55" s="4" t="s">
        <v>139</v>
      </c>
      <c r="C55" s="4" t="s">
        <v>140</v>
      </c>
      <c r="D55" s="4" t="s">
        <v>153</v>
      </c>
      <c r="E55" s="4" t="s">
        <v>154</v>
      </c>
      <c r="F55" s="4" t="s">
        <v>155</v>
      </c>
      <c r="G55" s="4" t="s">
        <v>156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13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13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1.0487253952888029E-3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5.8262521960489044E-5</v>
      </c>
      <c r="AT55" t="str">
        <f t="shared" si="0"/>
        <v/>
      </c>
    </row>
    <row r="56" spans="1:46" x14ac:dyDescent="0.3">
      <c r="A56" s="4" t="s">
        <v>26</v>
      </c>
      <c r="B56" s="4" t="s">
        <v>139</v>
      </c>
      <c r="C56" s="4" t="s">
        <v>140</v>
      </c>
      <c r="D56" s="4" t="s">
        <v>153</v>
      </c>
      <c r="E56" s="4" t="s">
        <v>154</v>
      </c>
      <c r="F56" s="4" t="s">
        <v>155</v>
      </c>
      <c r="G56" s="4" t="s">
        <v>31</v>
      </c>
      <c r="H56" s="4">
        <v>0</v>
      </c>
      <c r="I56" s="4">
        <v>0</v>
      </c>
      <c r="J56" s="4">
        <v>0</v>
      </c>
      <c r="K56" s="4">
        <v>1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4</v>
      </c>
      <c r="W56" s="4">
        <v>0</v>
      </c>
      <c r="X56" s="4">
        <v>0</v>
      </c>
      <c r="Y56" s="4">
        <v>0</v>
      </c>
      <c r="Z56" s="4">
        <v>5</v>
      </c>
      <c r="AA56" s="5">
        <v>0</v>
      </c>
      <c r="AB56" s="5">
        <v>0</v>
      </c>
      <c r="AC56" s="5">
        <v>0</v>
      </c>
      <c r="AD56" s="5">
        <v>8.0671184252984832E-5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3.2268473701193927E-4</v>
      </c>
      <c r="AP56" s="5">
        <v>0</v>
      </c>
      <c r="AQ56" s="5">
        <v>0</v>
      </c>
      <c r="AR56" s="5">
        <v>0</v>
      </c>
      <c r="AS56" s="5">
        <v>2.2408662292495788E-5</v>
      </c>
      <c r="AT56" t="str">
        <f t="shared" si="0"/>
        <v/>
      </c>
    </row>
    <row r="57" spans="1:46" x14ac:dyDescent="0.3">
      <c r="A57" s="4" t="s">
        <v>26</v>
      </c>
      <c r="B57" s="4" t="s">
        <v>139</v>
      </c>
      <c r="C57" s="4" t="s">
        <v>140</v>
      </c>
      <c r="D57" s="4" t="s">
        <v>153</v>
      </c>
      <c r="E57" s="4" t="s">
        <v>157</v>
      </c>
      <c r="F57" s="4" t="s">
        <v>158</v>
      </c>
      <c r="G57" s="4" t="s">
        <v>159</v>
      </c>
      <c r="H57" s="4">
        <v>0</v>
      </c>
      <c r="I57" s="4">
        <v>0</v>
      </c>
      <c r="J57" s="4">
        <v>0</v>
      </c>
      <c r="K57" s="4">
        <v>2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2</v>
      </c>
      <c r="AA57" s="5">
        <v>0</v>
      </c>
      <c r="AB57" s="5">
        <v>0</v>
      </c>
      <c r="AC57" s="5">
        <v>0</v>
      </c>
      <c r="AD57" s="5">
        <v>1.6134236850596969E-4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8.9634649169983156E-6</v>
      </c>
      <c r="AT57" t="str">
        <f t="shared" si="0"/>
        <v/>
      </c>
    </row>
    <row r="58" spans="1:46" x14ac:dyDescent="0.3">
      <c r="A58" s="4" t="s">
        <v>26</v>
      </c>
      <c r="B58" s="4" t="s">
        <v>139</v>
      </c>
      <c r="C58" s="4" t="s">
        <v>140</v>
      </c>
      <c r="D58" s="4" t="s">
        <v>153</v>
      </c>
      <c r="E58" s="4" t="s">
        <v>157</v>
      </c>
      <c r="F58" s="4" t="s">
        <v>158</v>
      </c>
      <c r="G58" s="4" t="s">
        <v>160</v>
      </c>
      <c r="H58" s="4">
        <v>0</v>
      </c>
      <c r="I58" s="4">
        <v>0</v>
      </c>
      <c r="J58" s="4">
        <v>1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1</v>
      </c>
      <c r="AA58" s="5">
        <v>0</v>
      </c>
      <c r="AB58" s="5">
        <v>0</v>
      </c>
      <c r="AC58" s="5">
        <v>8.0671184252984832E-5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4.4817324584991578E-6</v>
      </c>
      <c r="AT58" t="str">
        <f t="shared" si="0"/>
        <v/>
      </c>
    </row>
    <row r="59" spans="1:46" x14ac:dyDescent="0.3">
      <c r="A59" s="4" t="s">
        <v>26</v>
      </c>
      <c r="B59" s="4" t="s">
        <v>139</v>
      </c>
      <c r="C59" s="4" t="s">
        <v>140</v>
      </c>
      <c r="D59" s="4" t="s">
        <v>153</v>
      </c>
      <c r="E59" s="4" t="s">
        <v>157</v>
      </c>
      <c r="F59" s="4" t="s">
        <v>158</v>
      </c>
      <c r="G59" s="4" t="s">
        <v>161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26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26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2.0974507905776058E-3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1.1652504392097809E-4</v>
      </c>
      <c r="AT59" t="str">
        <f t="shared" si="0"/>
        <v/>
      </c>
    </row>
    <row r="60" spans="1:46" x14ac:dyDescent="0.3">
      <c r="A60" s="4" t="s">
        <v>26</v>
      </c>
      <c r="B60" s="4" t="s">
        <v>139</v>
      </c>
      <c r="C60" s="4" t="s">
        <v>140</v>
      </c>
      <c r="D60" s="4" t="s">
        <v>153</v>
      </c>
      <c r="E60" s="4" t="s">
        <v>157</v>
      </c>
      <c r="F60" s="4" t="s">
        <v>158</v>
      </c>
      <c r="G60" s="4" t="s">
        <v>162</v>
      </c>
      <c r="H60" s="4">
        <v>4</v>
      </c>
      <c r="I60" s="4">
        <v>6</v>
      </c>
      <c r="J60" s="4">
        <v>0</v>
      </c>
      <c r="K60" s="4">
        <v>11</v>
      </c>
      <c r="L60" s="4">
        <v>0</v>
      </c>
      <c r="M60" s="4">
        <v>0</v>
      </c>
      <c r="N60" s="4">
        <v>0</v>
      </c>
      <c r="O60" s="4">
        <v>4</v>
      </c>
      <c r="P60" s="4">
        <v>3</v>
      </c>
      <c r="Q60" s="4">
        <v>0</v>
      </c>
      <c r="R60" s="4">
        <v>9</v>
      </c>
      <c r="S60" s="4">
        <v>27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64</v>
      </c>
      <c r="AA60" s="5">
        <v>3.2268473701193927E-4</v>
      </c>
      <c r="AB60" s="5">
        <v>4.8402710551790902E-4</v>
      </c>
      <c r="AC60" s="5">
        <v>0</v>
      </c>
      <c r="AD60" s="5">
        <v>8.8738302678283316E-4</v>
      </c>
      <c r="AE60" s="5">
        <v>0</v>
      </c>
      <c r="AF60" s="5">
        <v>0</v>
      </c>
      <c r="AG60" s="5">
        <v>0</v>
      </c>
      <c r="AH60" s="5">
        <v>3.2268473701193927E-4</v>
      </c>
      <c r="AI60" s="5">
        <v>2.4201355275895451E-4</v>
      </c>
      <c r="AJ60" s="5">
        <v>0</v>
      </c>
      <c r="AK60" s="5">
        <v>7.2604065827686353E-4</v>
      </c>
      <c r="AL60" s="5">
        <v>2.1781219748305911E-3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2.868308773439461E-4</v>
      </c>
      <c r="AT60" t="str">
        <f t="shared" si="0"/>
        <v/>
      </c>
    </row>
    <row r="61" spans="1:46" x14ac:dyDescent="0.3">
      <c r="A61" s="4" t="s">
        <v>26</v>
      </c>
      <c r="B61" s="4" t="s">
        <v>139</v>
      </c>
      <c r="C61" s="4" t="s">
        <v>140</v>
      </c>
      <c r="D61" s="4" t="s">
        <v>153</v>
      </c>
      <c r="E61" s="4" t="s">
        <v>157</v>
      </c>
      <c r="F61" s="4" t="s">
        <v>158</v>
      </c>
      <c r="G61" s="4" t="s">
        <v>163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5</v>
      </c>
      <c r="V61" s="4">
        <v>0</v>
      </c>
      <c r="W61" s="4">
        <v>0</v>
      </c>
      <c r="X61" s="4">
        <v>0</v>
      </c>
      <c r="Y61" s="4">
        <v>0</v>
      </c>
      <c r="Z61" s="4">
        <v>5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4.0335592126492409E-4</v>
      </c>
      <c r="AO61" s="5">
        <v>0</v>
      </c>
      <c r="AP61" s="5">
        <v>0</v>
      </c>
      <c r="AQ61" s="5">
        <v>0</v>
      </c>
      <c r="AR61" s="5">
        <v>0</v>
      </c>
      <c r="AS61" s="5">
        <v>2.2408662292495788E-5</v>
      </c>
      <c r="AT61" t="str">
        <f t="shared" si="0"/>
        <v/>
      </c>
    </row>
    <row r="62" spans="1:46" x14ac:dyDescent="0.3">
      <c r="A62" s="4" t="s">
        <v>26</v>
      </c>
      <c r="B62" s="4" t="s">
        <v>139</v>
      </c>
      <c r="C62" s="4" t="s">
        <v>140</v>
      </c>
      <c r="D62" s="4" t="s">
        <v>153</v>
      </c>
      <c r="E62" s="4" t="s">
        <v>157</v>
      </c>
      <c r="F62" s="4" t="s">
        <v>158</v>
      </c>
      <c r="G62" s="4" t="s">
        <v>164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2</v>
      </c>
      <c r="Z62" s="4">
        <v>2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1.6134236850596969E-4</v>
      </c>
      <c r="AS62" s="5">
        <v>8.9634649169983156E-6</v>
      </c>
      <c r="AT62" t="str">
        <f t="shared" si="0"/>
        <v/>
      </c>
    </row>
    <row r="63" spans="1:46" x14ac:dyDescent="0.3">
      <c r="A63" s="4" t="s">
        <v>26</v>
      </c>
      <c r="B63" s="4" t="s">
        <v>139</v>
      </c>
      <c r="C63" s="4" t="s">
        <v>140</v>
      </c>
      <c r="D63" s="4" t="s">
        <v>153</v>
      </c>
      <c r="E63" s="4" t="s">
        <v>157</v>
      </c>
      <c r="F63" s="4" t="s">
        <v>158</v>
      </c>
      <c r="G63" s="4" t="s">
        <v>31</v>
      </c>
      <c r="H63" s="4">
        <v>0</v>
      </c>
      <c r="I63" s="4">
        <v>7</v>
      </c>
      <c r="J63" s="4">
        <v>86</v>
      </c>
      <c r="K63" s="4">
        <v>5</v>
      </c>
      <c r="L63" s="4">
        <v>0</v>
      </c>
      <c r="M63" s="4">
        <v>3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101</v>
      </c>
      <c r="AA63" s="5">
        <v>0</v>
      </c>
      <c r="AB63" s="5">
        <v>5.6469828977089378E-4</v>
      </c>
      <c r="AC63" s="5">
        <v>6.9377218457566956E-3</v>
      </c>
      <c r="AD63" s="5">
        <v>4.0335592126492409E-4</v>
      </c>
      <c r="AE63" s="5">
        <v>0</v>
      </c>
      <c r="AF63" s="5">
        <v>2.4201355275895451E-4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4.5265497830841489E-4</v>
      </c>
      <c r="AT63" t="str">
        <f t="shared" si="0"/>
        <v/>
      </c>
    </row>
    <row r="64" spans="1:46" x14ac:dyDescent="0.3">
      <c r="A64" s="4" t="s">
        <v>26</v>
      </c>
      <c r="B64" s="4" t="s">
        <v>139</v>
      </c>
      <c r="C64" s="4" t="s">
        <v>140</v>
      </c>
      <c r="D64" s="4" t="s">
        <v>153</v>
      </c>
      <c r="E64" s="4" t="s">
        <v>165</v>
      </c>
      <c r="F64" s="4" t="s">
        <v>166</v>
      </c>
      <c r="G64" s="4" t="s">
        <v>167</v>
      </c>
      <c r="H64" s="4">
        <v>0</v>
      </c>
      <c r="I64" s="4">
        <v>56</v>
      </c>
      <c r="J64" s="4">
        <v>0</v>
      </c>
      <c r="K64" s="4">
        <v>0</v>
      </c>
      <c r="L64" s="4">
        <v>0</v>
      </c>
      <c r="M64" s="4">
        <v>0</v>
      </c>
      <c r="N64" s="4">
        <v>4</v>
      </c>
      <c r="O64" s="4">
        <v>0</v>
      </c>
      <c r="P64" s="4">
        <v>28</v>
      </c>
      <c r="Q64" s="4">
        <v>0</v>
      </c>
      <c r="R64" s="4">
        <v>10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31</v>
      </c>
      <c r="Z64" s="4">
        <v>129</v>
      </c>
      <c r="AA64" s="5">
        <v>0</v>
      </c>
      <c r="AB64" s="5">
        <v>4.5175863181671503E-3</v>
      </c>
      <c r="AC64" s="5">
        <v>0</v>
      </c>
      <c r="AD64" s="5">
        <v>0</v>
      </c>
      <c r="AE64" s="5">
        <v>0</v>
      </c>
      <c r="AF64" s="5">
        <v>0</v>
      </c>
      <c r="AG64" s="5">
        <v>3.2268473701193927E-4</v>
      </c>
      <c r="AH64" s="5">
        <v>0</v>
      </c>
      <c r="AI64" s="5">
        <v>2.2587931590835751E-3</v>
      </c>
      <c r="AJ64" s="5">
        <v>0</v>
      </c>
      <c r="AK64" s="5">
        <v>8.0671184252984829E-4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2.5008067118425302E-3</v>
      </c>
      <c r="AS64" s="5">
        <v>5.781434871463913E-4</v>
      </c>
      <c r="AT64" t="str">
        <f t="shared" si="0"/>
        <v/>
      </c>
    </row>
    <row r="65" spans="1:46" x14ac:dyDescent="0.3">
      <c r="A65" s="4" t="s">
        <v>26</v>
      </c>
      <c r="B65" s="4" t="s">
        <v>139</v>
      </c>
      <c r="C65" s="4" t="s">
        <v>140</v>
      </c>
      <c r="D65" s="4" t="s">
        <v>153</v>
      </c>
      <c r="E65" s="4" t="s">
        <v>165</v>
      </c>
      <c r="F65" s="4" t="s">
        <v>166</v>
      </c>
      <c r="G65" s="4" t="s">
        <v>31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3</v>
      </c>
      <c r="V65" s="4">
        <v>0</v>
      </c>
      <c r="W65" s="4">
        <v>0</v>
      </c>
      <c r="X65" s="4">
        <v>0</v>
      </c>
      <c r="Y65" s="4">
        <v>0</v>
      </c>
      <c r="Z65" s="4">
        <v>3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2.4201355275895451E-4</v>
      </c>
      <c r="AO65" s="5">
        <v>0</v>
      </c>
      <c r="AP65" s="5">
        <v>0</v>
      </c>
      <c r="AQ65" s="5">
        <v>0</v>
      </c>
      <c r="AR65" s="5">
        <v>0</v>
      </c>
      <c r="AS65" s="5">
        <v>1.3445197375497473E-5</v>
      </c>
      <c r="AT65" t="str">
        <f t="shared" si="0"/>
        <v/>
      </c>
    </row>
    <row r="66" spans="1:46" x14ac:dyDescent="0.3">
      <c r="A66" s="4" t="s">
        <v>26</v>
      </c>
      <c r="B66" s="4" t="s">
        <v>139</v>
      </c>
      <c r="C66" s="4" t="s">
        <v>140</v>
      </c>
      <c r="D66" s="4" t="s">
        <v>168</v>
      </c>
      <c r="E66" s="4" t="s">
        <v>169</v>
      </c>
      <c r="F66" s="4" t="s">
        <v>170</v>
      </c>
      <c r="G66" s="4" t="s">
        <v>31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1</v>
      </c>
      <c r="Z66" s="4">
        <v>1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8.0671184252984832E-5</v>
      </c>
      <c r="AS66" s="5">
        <v>4.4817324584991578E-6</v>
      </c>
      <c r="AT66" t="str">
        <f t="shared" ref="AT66:AT129" si="1">IF(Z66=0,0,"")</f>
        <v/>
      </c>
    </row>
    <row r="67" spans="1:46" x14ac:dyDescent="0.3">
      <c r="A67" s="4" t="s">
        <v>26</v>
      </c>
      <c r="B67" s="4" t="s">
        <v>139</v>
      </c>
      <c r="C67" s="4" t="s">
        <v>140</v>
      </c>
      <c r="D67" s="4" t="s">
        <v>168</v>
      </c>
      <c r="E67" s="4" t="s">
        <v>169</v>
      </c>
      <c r="F67" s="4" t="s">
        <v>171</v>
      </c>
      <c r="G67" s="4" t="s">
        <v>172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4</v>
      </c>
      <c r="Y67" s="4">
        <v>0</v>
      </c>
      <c r="Z67" s="4">
        <v>4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3.2268473701193927E-4</v>
      </c>
      <c r="AR67" s="5">
        <v>0</v>
      </c>
      <c r="AS67" s="5">
        <v>1.7926929833996631E-5</v>
      </c>
      <c r="AT67" t="str">
        <f t="shared" si="1"/>
        <v/>
      </c>
    </row>
    <row r="68" spans="1:46" x14ac:dyDescent="0.3">
      <c r="A68" s="4" t="s">
        <v>26</v>
      </c>
      <c r="B68" s="4" t="s">
        <v>139</v>
      </c>
      <c r="C68" s="4" t="s">
        <v>140</v>
      </c>
      <c r="D68" s="4" t="s">
        <v>168</v>
      </c>
      <c r="E68" s="4" t="s">
        <v>169</v>
      </c>
      <c r="F68" s="4" t="s">
        <v>171</v>
      </c>
      <c r="G68" s="4" t="s">
        <v>31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2</v>
      </c>
      <c r="Y68" s="4">
        <v>0</v>
      </c>
      <c r="Z68" s="4">
        <v>2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1.6134236850596969E-4</v>
      </c>
      <c r="AR68" s="5">
        <v>0</v>
      </c>
      <c r="AS68" s="5">
        <v>8.9634649169983156E-6</v>
      </c>
      <c r="AT68" t="str">
        <f t="shared" si="1"/>
        <v/>
      </c>
    </row>
    <row r="69" spans="1:46" x14ac:dyDescent="0.3">
      <c r="A69" s="4" t="s">
        <v>26</v>
      </c>
      <c r="B69" s="4" t="s">
        <v>139</v>
      </c>
      <c r="C69" s="4" t="s">
        <v>140</v>
      </c>
      <c r="D69" s="4" t="s">
        <v>173</v>
      </c>
      <c r="E69" s="4" t="s">
        <v>174</v>
      </c>
      <c r="F69" s="4" t="s">
        <v>175</v>
      </c>
      <c r="G69" s="4" t="s">
        <v>176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300</v>
      </c>
      <c r="Y69" s="4">
        <v>0</v>
      </c>
      <c r="Z69" s="4">
        <v>300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2.420135527589545E-2</v>
      </c>
      <c r="AR69" s="5">
        <v>0</v>
      </c>
      <c r="AS69" s="5">
        <v>1.3445197375497472E-3</v>
      </c>
      <c r="AT69" t="str">
        <f t="shared" si="1"/>
        <v/>
      </c>
    </row>
    <row r="70" spans="1:46" x14ac:dyDescent="0.3">
      <c r="A70" s="4" t="s">
        <v>26</v>
      </c>
      <c r="B70" s="4" t="s">
        <v>139</v>
      </c>
      <c r="C70" s="4" t="s">
        <v>140</v>
      </c>
      <c r="D70" s="4" t="s">
        <v>173</v>
      </c>
      <c r="E70" s="4" t="s">
        <v>174</v>
      </c>
      <c r="F70" s="4" t="s">
        <v>175</v>
      </c>
      <c r="G70" s="4" t="s">
        <v>31</v>
      </c>
      <c r="H70" s="4">
        <v>6</v>
      </c>
      <c r="I70" s="4">
        <v>5</v>
      </c>
      <c r="J70" s="4">
        <v>8</v>
      </c>
      <c r="K70" s="4">
        <v>0</v>
      </c>
      <c r="L70" s="4">
        <v>6</v>
      </c>
      <c r="M70" s="4">
        <v>0</v>
      </c>
      <c r="N70" s="4">
        <v>16</v>
      </c>
      <c r="O70" s="4">
        <v>7</v>
      </c>
      <c r="P70" s="4">
        <v>0</v>
      </c>
      <c r="Q70" s="4">
        <v>26</v>
      </c>
      <c r="R70" s="4">
        <v>8</v>
      </c>
      <c r="S70" s="4">
        <v>1</v>
      </c>
      <c r="T70" s="4">
        <v>15</v>
      </c>
      <c r="U70" s="4">
        <v>5</v>
      </c>
      <c r="V70" s="4">
        <v>0</v>
      </c>
      <c r="W70" s="4">
        <v>0</v>
      </c>
      <c r="X70" s="4">
        <v>32</v>
      </c>
      <c r="Y70" s="4">
        <v>2</v>
      </c>
      <c r="Z70" s="4">
        <v>137</v>
      </c>
      <c r="AA70" s="5">
        <v>4.8402710551790902E-4</v>
      </c>
      <c r="AB70" s="5">
        <v>4.0335592126492409E-4</v>
      </c>
      <c r="AC70" s="5">
        <v>6.4536947402387866E-4</v>
      </c>
      <c r="AD70" s="5">
        <v>0</v>
      </c>
      <c r="AE70" s="5">
        <v>4.8402710551790902E-4</v>
      </c>
      <c r="AF70" s="5">
        <v>0</v>
      </c>
      <c r="AG70" s="5">
        <v>1.2907389480477571E-3</v>
      </c>
      <c r="AH70" s="5">
        <v>5.6469828977089378E-4</v>
      </c>
      <c r="AI70" s="5">
        <v>0</v>
      </c>
      <c r="AJ70" s="5">
        <v>2.0974507905776058E-3</v>
      </c>
      <c r="AK70" s="5">
        <v>6.4536947402387866E-4</v>
      </c>
      <c r="AL70" s="5">
        <v>8.0671184252984832E-5</v>
      </c>
      <c r="AM70" s="5">
        <v>1.210067763794772E-3</v>
      </c>
      <c r="AN70" s="5">
        <v>4.0335592126492409E-4</v>
      </c>
      <c r="AO70" s="5">
        <v>0</v>
      </c>
      <c r="AP70" s="5">
        <v>0</v>
      </c>
      <c r="AQ70" s="5">
        <v>2.5814778960955151E-3</v>
      </c>
      <c r="AR70" s="5">
        <v>1.6134236850596969E-4</v>
      </c>
      <c r="AS70" s="5">
        <v>6.1399734681438453E-4</v>
      </c>
      <c r="AT70" t="str">
        <f t="shared" si="1"/>
        <v/>
      </c>
    </row>
    <row r="71" spans="1:46" x14ac:dyDescent="0.3">
      <c r="A71" s="4" t="s">
        <v>26</v>
      </c>
      <c r="B71" s="4" t="s">
        <v>139</v>
      </c>
      <c r="C71" s="4" t="s">
        <v>177</v>
      </c>
      <c r="D71" s="4" t="s">
        <v>178</v>
      </c>
      <c r="E71" s="4" t="s">
        <v>179</v>
      </c>
      <c r="F71" s="4" t="s">
        <v>180</v>
      </c>
      <c r="G71" s="4" t="s">
        <v>181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2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2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1.6134236850596969E-4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8.9634649169983156E-6</v>
      </c>
      <c r="AT71" t="str">
        <f t="shared" si="1"/>
        <v/>
      </c>
    </row>
    <row r="72" spans="1:46" x14ac:dyDescent="0.3">
      <c r="A72" s="4" t="s">
        <v>26</v>
      </c>
      <c r="B72" s="4" t="s">
        <v>139</v>
      </c>
      <c r="C72" s="4" t="s">
        <v>177</v>
      </c>
      <c r="D72" s="4" t="s">
        <v>178</v>
      </c>
      <c r="E72" s="4" t="s">
        <v>182</v>
      </c>
      <c r="F72" s="4" t="s">
        <v>183</v>
      </c>
      <c r="G72" s="4" t="s">
        <v>31</v>
      </c>
      <c r="H72" s="4">
        <v>124</v>
      </c>
      <c r="I72" s="4">
        <v>79</v>
      </c>
      <c r="J72" s="4">
        <v>96</v>
      </c>
      <c r="K72" s="4">
        <v>56</v>
      </c>
      <c r="L72" s="4">
        <v>84</v>
      </c>
      <c r="M72" s="4">
        <v>93</v>
      </c>
      <c r="N72" s="4">
        <v>158</v>
      </c>
      <c r="O72" s="4">
        <v>107</v>
      </c>
      <c r="P72" s="4">
        <v>100</v>
      </c>
      <c r="Q72" s="4">
        <v>83</v>
      </c>
      <c r="R72" s="4">
        <v>174</v>
      </c>
      <c r="S72" s="4">
        <v>108</v>
      </c>
      <c r="T72" s="4">
        <v>105</v>
      </c>
      <c r="U72" s="4">
        <v>97</v>
      </c>
      <c r="V72" s="4">
        <v>79</v>
      </c>
      <c r="W72" s="4">
        <v>51</v>
      </c>
      <c r="X72" s="4">
        <v>69</v>
      </c>
      <c r="Y72" s="4">
        <v>89</v>
      </c>
      <c r="Z72" s="4">
        <v>1752</v>
      </c>
      <c r="AA72" s="5">
        <v>1.0003226847370121E-2</v>
      </c>
      <c r="AB72" s="5">
        <v>6.3730235559858019E-3</v>
      </c>
      <c r="AC72" s="5">
        <v>7.7444336882865443E-3</v>
      </c>
      <c r="AD72" s="5">
        <v>4.5175863181671503E-3</v>
      </c>
      <c r="AE72" s="5">
        <v>6.7763794772507258E-3</v>
      </c>
      <c r="AF72" s="5">
        <v>7.5024201355275892E-3</v>
      </c>
      <c r="AG72" s="5">
        <v>1.27460471119716E-2</v>
      </c>
      <c r="AH72" s="5">
        <v>8.6318167150693775E-3</v>
      </c>
      <c r="AI72" s="5">
        <v>8.0671184252984838E-3</v>
      </c>
      <c r="AJ72" s="5">
        <v>6.6957082929977414E-3</v>
      </c>
      <c r="AK72" s="5">
        <v>1.403678606001936E-2</v>
      </c>
      <c r="AL72" s="5">
        <v>8.7124878993223628E-3</v>
      </c>
      <c r="AM72" s="5">
        <v>8.4704743465634069E-3</v>
      </c>
      <c r="AN72" s="5">
        <v>7.8251048725395296E-3</v>
      </c>
      <c r="AO72" s="5">
        <v>6.3730235559858019E-3</v>
      </c>
      <c r="AP72" s="5">
        <v>4.1142303969022263E-3</v>
      </c>
      <c r="AQ72" s="5">
        <v>5.5663117134559532E-3</v>
      </c>
      <c r="AR72" s="5">
        <v>7.1797353985156506E-3</v>
      </c>
      <c r="AS72" s="5">
        <v>7.8519952672905236E-3</v>
      </c>
      <c r="AT72" t="str">
        <f t="shared" si="1"/>
        <v/>
      </c>
    </row>
    <row r="73" spans="1:46" x14ac:dyDescent="0.3">
      <c r="A73" s="4" t="s">
        <v>26</v>
      </c>
      <c r="B73" s="4" t="s">
        <v>139</v>
      </c>
      <c r="C73" s="4" t="s">
        <v>177</v>
      </c>
      <c r="D73" s="4" t="s">
        <v>184</v>
      </c>
      <c r="E73" s="4" t="s">
        <v>185</v>
      </c>
      <c r="F73" s="4" t="s">
        <v>186</v>
      </c>
      <c r="G73" s="4" t="s">
        <v>37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10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10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8.0671184252984829E-4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4.4817324584991576E-5</v>
      </c>
      <c r="AT73" t="str">
        <f t="shared" si="1"/>
        <v/>
      </c>
    </row>
    <row r="74" spans="1:46" x14ac:dyDescent="0.3">
      <c r="A74" s="4" t="s">
        <v>26</v>
      </c>
      <c r="B74" s="4" t="s">
        <v>139</v>
      </c>
      <c r="C74" s="4" t="s">
        <v>177</v>
      </c>
      <c r="D74" s="4" t="s">
        <v>184</v>
      </c>
      <c r="E74" s="4" t="s">
        <v>185</v>
      </c>
      <c r="F74" s="4" t="s">
        <v>31</v>
      </c>
      <c r="G74" s="4" t="s">
        <v>31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2</v>
      </c>
      <c r="Q74" s="4">
        <v>0</v>
      </c>
      <c r="R74" s="4">
        <v>6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8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1.6134236850596969E-4</v>
      </c>
      <c r="AJ74" s="5">
        <v>0</v>
      </c>
      <c r="AK74" s="5">
        <v>4.8402710551790902E-4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3.5853859667993262E-5</v>
      </c>
      <c r="AT74" t="str">
        <f t="shared" si="1"/>
        <v/>
      </c>
    </row>
    <row r="75" spans="1:46" x14ac:dyDescent="0.3">
      <c r="A75" s="4" t="s">
        <v>26</v>
      </c>
      <c r="B75" s="4" t="s">
        <v>139</v>
      </c>
      <c r="C75" s="4" t="s">
        <v>177</v>
      </c>
      <c r="D75" s="4" t="s">
        <v>187</v>
      </c>
      <c r="E75" s="4" t="s">
        <v>188</v>
      </c>
      <c r="F75" s="4" t="s">
        <v>188</v>
      </c>
      <c r="G75" s="4" t="s">
        <v>189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5</v>
      </c>
      <c r="Z75" s="4">
        <v>5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4.0335592126492409E-4</v>
      </c>
      <c r="AS75" s="5">
        <v>2.2408662292495788E-5</v>
      </c>
      <c r="AT75" t="str">
        <f t="shared" si="1"/>
        <v/>
      </c>
    </row>
    <row r="76" spans="1:46" x14ac:dyDescent="0.3">
      <c r="A76" s="4" t="s">
        <v>26</v>
      </c>
      <c r="B76" s="4" t="s">
        <v>139</v>
      </c>
      <c r="C76" s="4" t="s">
        <v>177</v>
      </c>
      <c r="D76" s="4" t="s">
        <v>190</v>
      </c>
      <c r="E76" s="4" t="s">
        <v>191</v>
      </c>
      <c r="F76" s="4" t="s">
        <v>192</v>
      </c>
      <c r="G76" s="4" t="s">
        <v>31</v>
      </c>
      <c r="H76" s="4">
        <v>0</v>
      </c>
      <c r="I76" s="4">
        <v>0</v>
      </c>
      <c r="J76" s="4">
        <v>0</v>
      </c>
      <c r="K76" s="4">
        <v>0</v>
      </c>
      <c r="L76" s="4">
        <v>3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3</v>
      </c>
      <c r="AA76" s="5">
        <v>0</v>
      </c>
      <c r="AB76" s="5">
        <v>0</v>
      </c>
      <c r="AC76" s="5">
        <v>0</v>
      </c>
      <c r="AD76" s="5">
        <v>0</v>
      </c>
      <c r="AE76" s="5">
        <v>2.4201355275895451E-4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1.3445197375497473E-5</v>
      </c>
      <c r="AT76" t="str">
        <f t="shared" si="1"/>
        <v/>
      </c>
    </row>
    <row r="77" spans="1:46" x14ac:dyDescent="0.3">
      <c r="A77" s="4" t="s">
        <v>26</v>
      </c>
      <c r="B77" s="4" t="s">
        <v>193</v>
      </c>
      <c r="C77" s="4" t="s">
        <v>194</v>
      </c>
      <c r="D77" s="4" t="s">
        <v>195</v>
      </c>
      <c r="E77" s="4" t="s">
        <v>196</v>
      </c>
      <c r="F77" s="4" t="s">
        <v>197</v>
      </c>
      <c r="G77" s="4" t="s">
        <v>37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3</v>
      </c>
      <c r="X77" s="4">
        <v>0</v>
      </c>
      <c r="Y77" s="4">
        <v>0</v>
      </c>
      <c r="Z77" s="4">
        <v>3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2.4201355275895451E-4</v>
      </c>
      <c r="AQ77" s="5">
        <v>0</v>
      </c>
      <c r="AR77" s="5">
        <v>0</v>
      </c>
      <c r="AS77" s="5">
        <v>1.3445197375497473E-5</v>
      </c>
      <c r="AT77" t="str">
        <f t="shared" si="1"/>
        <v/>
      </c>
    </row>
    <row r="78" spans="1:46" x14ac:dyDescent="0.3">
      <c r="A78" s="4" t="s">
        <v>26</v>
      </c>
      <c r="B78" s="4" t="s">
        <v>198</v>
      </c>
      <c r="C78" s="4" t="s">
        <v>199</v>
      </c>
      <c r="D78" s="4" t="s">
        <v>200</v>
      </c>
      <c r="E78" s="4" t="s">
        <v>201</v>
      </c>
      <c r="F78" s="4" t="s">
        <v>30</v>
      </c>
      <c r="G78" s="4" t="s">
        <v>31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3</v>
      </c>
      <c r="V78" s="4">
        <v>0</v>
      </c>
      <c r="W78" s="4">
        <v>0</v>
      </c>
      <c r="X78" s="4">
        <v>0</v>
      </c>
      <c r="Y78" s="4">
        <v>0</v>
      </c>
      <c r="Z78" s="4">
        <v>3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2.4201355275895451E-4</v>
      </c>
      <c r="AO78" s="5">
        <v>0</v>
      </c>
      <c r="AP78" s="5">
        <v>0</v>
      </c>
      <c r="AQ78" s="5">
        <v>0</v>
      </c>
      <c r="AR78" s="5">
        <v>0</v>
      </c>
      <c r="AS78" s="5">
        <v>1.3445197375497473E-5</v>
      </c>
      <c r="AT78" t="str">
        <f t="shared" si="1"/>
        <v/>
      </c>
    </row>
    <row r="79" spans="1:46" x14ac:dyDescent="0.3">
      <c r="A79" s="4" t="s">
        <v>26</v>
      </c>
      <c r="B79" s="4" t="s">
        <v>202</v>
      </c>
      <c r="C79" s="4" t="s">
        <v>203</v>
      </c>
      <c r="D79" s="4" t="s">
        <v>204</v>
      </c>
      <c r="E79" s="4" t="s">
        <v>204</v>
      </c>
      <c r="F79" s="4" t="s">
        <v>204</v>
      </c>
      <c r="G79" s="4" t="s">
        <v>205</v>
      </c>
      <c r="H79" s="4">
        <v>0</v>
      </c>
      <c r="I79" s="4">
        <v>0</v>
      </c>
      <c r="J79" s="4">
        <v>0</v>
      </c>
      <c r="K79" s="4">
        <v>0</v>
      </c>
      <c r="L79" s="4">
        <v>1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</v>
      </c>
      <c r="AA79" s="5">
        <v>0</v>
      </c>
      <c r="AB79" s="5">
        <v>0</v>
      </c>
      <c r="AC79" s="5">
        <v>0</v>
      </c>
      <c r="AD79" s="5">
        <v>0</v>
      </c>
      <c r="AE79" s="5">
        <v>8.0671184252984832E-5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4.4817324584991578E-6</v>
      </c>
      <c r="AT79" t="str">
        <f t="shared" si="1"/>
        <v/>
      </c>
    </row>
    <row r="80" spans="1:46" x14ac:dyDescent="0.3">
      <c r="A80" s="4" t="s">
        <v>26</v>
      </c>
      <c r="B80" s="4" t="s">
        <v>202</v>
      </c>
      <c r="C80" s="4" t="s">
        <v>203</v>
      </c>
      <c r="D80" s="4" t="s">
        <v>206</v>
      </c>
      <c r="E80" s="4" t="s">
        <v>207</v>
      </c>
      <c r="F80" s="4" t="s">
        <v>208</v>
      </c>
      <c r="G80" s="4" t="s">
        <v>37</v>
      </c>
      <c r="H80" s="4">
        <v>0</v>
      </c>
      <c r="I80" s="4">
        <v>0</v>
      </c>
      <c r="J80" s="4">
        <v>0</v>
      </c>
      <c r="K80" s="4">
        <v>6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6</v>
      </c>
      <c r="AA80" s="5">
        <v>0</v>
      </c>
      <c r="AB80" s="5">
        <v>0</v>
      </c>
      <c r="AC80" s="5">
        <v>0</v>
      </c>
      <c r="AD80" s="5">
        <v>4.8402710551790902E-4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2.6890394750994945E-5</v>
      </c>
      <c r="AT80" t="str">
        <f t="shared" si="1"/>
        <v/>
      </c>
    </row>
    <row r="81" spans="1:46" x14ac:dyDescent="0.3">
      <c r="A81" s="4" t="s">
        <v>26</v>
      </c>
      <c r="B81" s="4" t="s">
        <v>202</v>
      </c>
      <c r="C81" s="4" t="s">
        <v>203</v>
      </c>
      <c r="D81" s="4" t="s">
        <v>209</v>
      </c>
      <c r="E81" s="4" t="s">
        <v>210</v>
      </c>
      <c r="F81" s="4" t="s">
        <v>211</v>
      </c>
      <c r="G81" s="4" t="s">
        <v>31</v>
      </c>
      <c r="H81" s="4">
        <v>0</v>
      </c>
      <c r="I81" s="4">
        <v>0</v>
      </c>
      <c r="J81" s="4">
        <v>0</v>
      </c>
      <c r="K81" s="4">
        <v>10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10</v>
      </c>
      <c r="AA81" s="5">
        <v>0</v>
      </c>
      <c r="AB81" s="5">
        <v>0</v>
      </c>
      <c r="AC81" s="5">
        <v>0</v>
      </c>
      <c r="AD81" s="5">
        <v>8.0671184252984829E-4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4.4817324584991576E-5</v>
      </c>
      <c r="AT81" t="str">
        <f t="shared" si="1"/>
        <v/>
      </c>
    </row>
    <row r="82" spans="1:46" x14ac:dyDescent="0.3">
      <c r="A82" s="4" t="s">
        <v>26</v>
      </c>
      <c r="B82" s="4" t="s">
        <v>212</v>
      </c>
      <c r="C82" s="4" t="s">
        <v>213</v>
      </c>
      <c r="D82" s="4" t="s">
        <v>213</v>
      </c>
      <c r="E82" s="4" t="s">
        <v>213</v>
      </c>
      <c r="F82" s="4" t="s">
        <v>213</v>
      </c>
      <c r="G82" s="4" t="s">
        <v>37</v>
      </c>
      <c r="H82" s="4">
        <v>0</v>
      </c>
      <c r="I82" s="4">
        <v>0</v>
      </c>
      <c r="J82" s="4">
        <v>0</v>
      </c>
      <c r="K82" s="4">
        <v>2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2</v>
      </c>
      <c r="AA82" s="5">
        <v>0</v>
      </c>
      <c r="AB82" s="5">
        <v>0</v>
      </c>
      <c r="AC82" s="5">
        <v>0</v>
      </c>
      <c r="AD82" s="5">
        <v>1.6134236850596969E-4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0</v>
      </c>
      <c r="AS82" s="5">
        <v>8.9634649169983156E-6</v>
      </c>
      <c r="AT82" t="str">
        <f t="shared" si="1"/>
        <v/>
      </c>
    </row>
    <row r="83" spans="1:46" x14ac:dyDescent="0.3">
      <c r="A83" s="4" t="s">
        <v>26</v>
      </c>
      <c r="B83" s="4" t="s">
        <v>212</v>
      </c>
      <c r="C83" s="4" t="s">
        <v>214</v>
      </c>
      <c r="D83" s="4" t="s">
        <v>215</v>
      </c>
      <c r="E83" s="4" t="s">
        <v>216</v>
      </c>
      <c r="F83" s="4" t="s">
        <v>217</v>
      </c>
      <c r="G83" s="4" t="s">
        <v>37</v>
      </c>
      <c r="H83" s="4">
        <v>0</v>
      </c>
      <c r="I83" s="4">
        <v>0</v>
      </c>
      <c r="J83" s="4">
        <v>0</v>
      </c>
      <c r="K83" s="4">
        <v>2</v>
      </c>
      <c r="L83" s="4">
        <v>0</v>
      </c>
      <c r="M83" s="4">
        <v>0</v>
      </c>
      <c r="N83" s="4">
        <v>0</v>
      </c>
      <c r="O83" s="4">
        <v>0</v>
      </c>
      <c r="P83" s="4">
        <v>4</v>
      </c>
      <c r="Q83" s="4">
        <v>0</v>
      </c>
      <c r="R83" s="4">
        <v>15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9</v>
      </c>
      <c r="Z83" s="4">
        <v>30</v>
      </c>
      <c r="AA83" s="5">
        <v>0</v>
      </c>
      <c r="AB83" s="5">
        <v>0</v>
      </c>
      <c r="AC83" s="5">
        <v>0</v>
      </c>
      <c r="AD83" s="5">
        <v>1.6134236850596969E-4</v>
      </c>
      <c r="AE83" s="5">
        <v>0</v>
      </c>
      <c r="AF83" s="5">
        <v>0</v>
      </c>
      <c r="AG83" s="5">
        <v>0</v>
      </c>
      <c r="AH83" s="5">
        <v>0</v>
      </c>
      <c r="AI83" s="5">
        <v>3.2268473701193927E-4</v>
      </c>
      <c r="AJ83" s="5">
        <v>0</v>
      </c>
      <c r="AK83" s="5">
        <v>1.210067763794772E-3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7.2604065827686353E-4</v>
      </c>
      <c r="AS83" s="5">
        <v>1.3445197375497472E-4</v>
      </c>
      <c r="AT83" t="str">
        <f t="shared" si="1"/>
        <v/>
      </c>
    </row>
    <row r="84" spans="1:46" x14ac:dyDescent="0.3">
      <c r="A84" s="4" t="s">
        <v>26</v>
      </c>
      <c r="B84" s="4" t="s">
        <v>212</v>
      </c>
      <c r="C84" s="4" t="s">
        <v>214</v>
      </c>
      <c r="D84" s="4" t="s">
        <v>215</v>
      </c>
      <c r="E84" s="4" t="s">
        <v>215</v>
      </c>
      <c r="F84" s="4" t="s">
        <v>215</v>
      </c>
      <c r="G84" s="4" t="s">
        <v>218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6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4.8402710551790902E-4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0</v>
      </c>
      <c r="AS84" s="5">
        <v>2.6890394750994945E-5</v>
      </c>
      <c r="AT84" t="str">
        <f t="shared" si="1"/>
        <v/>
      </c>
    </row>
    <row r="85" spans="1:46" x14ac:dyDescent="0.3">
      <c r="A85" s="4" t="s">
        <v>26</v>
      </c>
      <c r="B85" s="4" t="s">
        <v>212</v>
      </c>
      <c r="C85" s="4" t="s">
        <v>214</v>
      </c>
      <c r="D85" s="4" t="s">
        <v>215</v>
      </c>
      <c r="E85" s="4" t="s">
        <v>215</v>
      </c>
      <c r="F85" s="4" t="s">
        <v>215</v>
      </c>
      <c r="G85" s="4" t="s">
        <v>37</v>
      </c>
      <c r="H85" s="4">
        <v>0</v>
      </c>
      <c r="I85" s="4">
        <v>0</v>
      </c>
      <c r="J85" s="4">
        <v>0</v>
      </c>
      <c r="K85" s="4">
        <v>10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10</v>
      </c>
      <c r="AA85" s="5">
        <v>0</v>
      </c>
      <c r="AB85" s="5">
        <v>0</v>
      </c>
      <c r="AC85" s="5">
        <v>0</v>
      </c>
      <c r="AD85" s="5">
        <v>8.0671184252984829E-4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4.4817324584991576E-5</v>
      </c>
      <c r="AT85" t="str">
        <f t="shared" si="1"/>
        <v/>
      </c>
    </row>
    <row r="86" spans="1:46" x14ac:dyDescent="0.3">
      <c r="A86" s="4" t="s">
        <v>26</v>
      </c>
      <c r="B86" s="4" t="s">
        <v>212</v>
      </c>
      <c r="C86" s="4" t="s">
        <v>214</v>
      </c>
      <c r="D86" s="4" t="s">
        <v>215</v>
      </c>
      <c r="E86" s="4" t="s">
        <v>215</v>
      </c>
      <c r="F86" s="4" t="s">
        <v>215</v>
      </c>
      <c r="G86" s="4" t="s">
        <v>219</v>
      </c>
      <c r="H86" s="4">
        <v>0</v>
      </c>
      <c r="I86" s="4">
        <v>0</v>
      </c>
      <c r="J86" s="4">
        <v>0</v>
      </c>
      <c r="K86" s="4">
        <v>0</v>
      </c>
      <c r="L86" s="4">
        <v>3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5</v>
      </c>
      <c r="S86" s="4">
        <v>0</v>
      </c>
      <c r="T86" s="4">
        <v>2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10</v>
      </c>
      <c r="AA86" s="5">
        <v>0</v>
      </c>
      <c r="AB86" s="5">
        <v>0</v>
      </c>
      <c r="AC86" s="5">
        <v>0</v>
      </c>
      <c r="AD86" s="5">
        <v>0</v>
      </c>
      <c r="AE86" s="5">
        <v>2.4201355275895451E-4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4.0335592126492409E-4</v>
      </c>
      <c r="AL86" s="5">
        <v>0</v>
      </c>
      <c r="AM86" s="5">
        <v>1.6134236850596969E-4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4.4817324584991576E-5</v>
      </c>
      <c r="AT86" t="str">
        <f t="shared" si="1"/>
        <v/>
      </c>
    </row>
    <row r="87" spans="1:46" x14ac:dyDescent="0.3">
      <c r="A87" s="4" t="s">
        <v>26</v>
      </c>
      <c r="B87" s="4" t="s">
        <v>220</v>
      </c>
      <c r="C87" s="4" t="s">
        <v>221</v>
      </c>
      <c r="D87" s="4" t="s">
        <v>221</v>
      </c>
      <c r="E87" s="4" t="s">
        <v>221</v>
      </c>
      <c r="F87" s="4" t="s">
        <v>221</v>
      </c>
      <c r="G87" s="4" t="s">
        <v>37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6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6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4.8402710551790902E-4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2.6890394750994945E-5</v>
      </c>
      <c r="AT87" t="str">
        <f t="shared" si="1"/>
        <v/>
      </c>
    </row>
    <row r="88" spans="1:46" x14ac:dyDescent="0.3">
      <c r="A88" s="4" t="s">
        <v>26</v>
      </c>
      <c r="B88" s="4" t="s">
        <v>220</v>
      </c>
      <c r="C88" s="4" t="s">
        <v>222</v>
      </c>
      <c r="D88" s="4" t="s">
        <v>223</v>
      </c>
      <c r="E88" s="4" t="s">
        <v>224</v>
      </c>
      <c r="F88" s="4" t="s">
        <v>30</v>
      </c>
      <c r="G88" s="4" t="s">
        <v>31</v>
      </c>
      <c r="H88" s="4">
        <v>0</v>
      </c>
      <c r="I88" s="4">
        <v>0</v>
      </c>
      <c r="J88" s="4">
        <v>0</v>
      </c>
      <c r="K88" s="4">
        <v>0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</v>
      </c>
      <c r="AA88" s="5">
        <v>0</v>
      </c>
      <c r="AB88" s="5">
        <v>0</v>
      </c>
      <c r="AC88" s="5">
        <v>0</v>
      </c>
      <c r="AD88" s="5">
        <v>0</v>
      </c>
      <c r="AE88" s="5">
        <v>8.0671184252984832E-5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0</v>
      </c>
      <c r="AS88" s="5">
        <v>4.4817324584991578E-6</v>
      </c>
      <c r="AT88" t="str">
        <f t="shared" si="1"/>
        <v/>
      </c>
    </row>
    <row r="89" spans="1:46" x14ac:dyDescent="0.3">
      <c r="A89" s="4" t="s">
        <v>26</v>
      </c>
      <c r="B89" s="4" t="s">
        <v>220</v>
      </c>
      <c r="C89" s="4" t="s">
        <v>222</v>
      </c>
      <c r="D89" s="4" t="s">
        <v>223</v>
      </c>
      <c r="E89" s="4" t="s">
        <v>224</v>
      </c>
      <c r="F89" s="4" t="s">
        <v>30</v>
      </c>
      <c r="G89" s="4" t="s">
        <v>37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3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3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2.4201355275895451E-4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1.3445197375497473E-5</v>
      </c>
      <c r="AT89" t="str">
        <f t="shared" si="1"/>
        <v/>
      </c>
    </row>
    <row r="90" spans="1:46" x14ac:dyDescent="0.3">
      <c r="A90" s="4" t="s">
        <v>26</v>
      </c>
      <c r="B90" s="4" t="s">
        <v>225</v>
      </c>
      <c r="C90" s="4" t="s">
        <v>226</v>
      </c>
      <c r="D90" s="4" t="s">
        <v>227</v>
      </c>
      <c r="E90" s="4" t="s">
        <v>228</v>
      </c>
      <c r="F90" s="4" t="s">
        <v>229</v>
      </c>
      <c r="G90" s="4" t="s">
        <v>31</v>
      </c>
      <c r="H90" s="4">
        <v>0</v>
      </c>
      <c r="I90" s="4">
        <v>0</v>
      </c>
      <c r="J90" s="4">
        <v>0</v>
      </c>
      <c r="K90" s="4">
        <v>0</v>
      </c>
      <c r="L90" s="4">
        <v>9</v>
      </c>
      <c r="M90" s="4">
        <v>0</v>
      </c>
      <c r="N90" s="4">
        <v>0</v>
      </c>
      <c r="O90" s="4">
        <v>0</v>
      </c>
      <c r="P90" s="4">
        <v>4</v>
      </c>
      <c r="Q90" s="4">
        <v>0</v>
      </c>
      <c r="R90" s="4">
        <v>0</v>
      </c>
      <c r="S90" s="4">
        <v>0</v>
      </c>
      <c r="T90" s="4">
        <v>7</v>
      </c>
      <c r="U90" s="4">
        <v>0</v>
      </c>
      <c r="V90" s="4">
        <v>8</v>
      </c>
      <c r="W90" s="4">
        <v>13</v>
      </c>
      <c r="X90" s="4">
        <v>0</v>
      </c>
      <c r="Y90" s="4">
        <v>0</v>
      </c>
      <c r="Z90" s="4">
        <v>41</v>
      </c>
      <c r="AA90" s="5">
        <v>0</v>
      </c>
      <c r="AB90" s="5">
        <v>0</v>
      </c>
      <c r="AC90" s="5">
        <v>0</v>
      </c>
      <c r="AD90" s="5">
        <v>0</v>
      </c>
      <c r="AE90" s="5">
        <v>7.2604065827686353E-4</v>
      </c>
      <c r="AF90" s="5">
        <v>0</v>
      </c>
      <c r="AG90" s="5">
        <v>0</v>
      </c>
      <c r="AH90" s="5">
        <v>0</v>
      </c>
      <c r="AI90" s="5">
        <v>3.2268473701193927E-4</v>
      </c>
      <c r="AJ90" s="5">
        <v>0</v>
      </c>
      <c r="AK90" s="5">
        <v>0</v>
      </c>
      <c r="AL90" s="5">
        <v>0</v>
      </c>
      <c r="AM90" s="5">
        <v>5.6469828977089378E-4</v>
      </c>
      <c r="AN90" s="5">
        <v>0</v>
      </c>
      <c r="AO90" s="5">
        <v>6.4536947402387866E-4</v>
      </c>
      <c r="AP90" s="5">
        <v>1.0487253952888029E-3</v>
      </c>
      <c r="AQ90" s="5">
        <v>0</v>
      </c>
      <c r="AR90" s="5">
        <v>0</v>
      </c>
      <c r="AS90" s="5">
        <v>1.8375103079846546E-4</v>
      </c>
      <c r="AT90" t="str">
        <f t="shared" si="1"/>
        <v/>
      </c>
    </row>
    <row r="91" spans="1:46" x14ac:dyDescent="0.3">
      <c r="A91" s="4" t="s">
        <v>26</v>
      </c>
      <c r="B91" s="4" t="s">
        <v>225</v>
      </c>
      <c r="C91" s="4" t="s">
        <v>226</v>
      </c>
      <c r="D91" s="4" t="s">
        <v>227</v>
      </c>
      <c r="E91" s="4" t="s">
        <v>228</v>
      </c>
      <c r="F91" s="4" t="s">
        <v>230</v>
      </c>
      <c r="G91" s="4" t="s">
        <v>37</v>
      </c>
      <c r="H91" s="4">
        <v>0</v>
      </c>
      <c r="I91" s="4">
        <v>0</v>
      </c>
      <c r="J91" s="4">
        <v>3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3</v>
      </c>
      <c r="AA91" s="5">
        <v>0</v>
      </c>
      <c r="AB91" s="5">
        <v>0</v>
      </c>
      <c r="AC91" s="5">
        <v>2.4201355275895451E-4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1.3445197375497473E-5</v>
      </c>
      <c r="AT91" t="str">
        <f t="shared" si="1"/>
        <v/>
      </c>
    </row>
    <row r="92" spans="1:46" x14ac:dyDescent="0.3">
      <c r="A92" s="4" t="s">
        <v>26</v>
      </c>
      <c r="B92" s="4" t="s">
        <v>225</v>
      </c>
      <c r="C92" s="4" t="s">
        <v>226</v>
      </c>
      <c r="D92" s="4" t="s">
        <v>227</v>
      </c>
      <c r="E92" s="4" t="s">
        <v>228</v>
      </c>
      <c r="F92" s="4" t="s">
        <v>231</v>
      </c>
      <c r="G92" s="4" t="s">
        <v>232</v>
      </c>
      <c r="H92" s="4">
        <v>0</v>
      </c>
      <c r="I92" s="4">
        <v>0</v>
      </c>
      <c r="J92" s="4">
        <v>0</v>
      </c>
      <c r="K92" s="4">
        <v>0</v>
      </c>
      <c r="L92" s="4">
        <v>4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4</v>
      </c>
      <c r="AA92" s="5">
        <v>0</v>
      </c>
      <c r="AB92" s="5">
        <v>0</v>
      </c>
      <c r="AC92" s="5">
        <v>0</v>
      </c>
      <c r="AD92" s="5">
        <v>0</v>
      </c>
      <c r="AE92" s="5">
        <v>3.2268473701193927E-4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s="5">
        <v>0</v>
      </c>
      <c r="AS92" s="5">
        <v>1.7926929833996631E-5</v>
      </c>
      <c r="AT92" t="str">
        <f t="shared" si="1"/>
        <v/>
      </c>
    </row>
    <row r="93" spans="1:46" x14ac:dyDescent="0.3">
      <c r="A93" s="4" t="s">
        <v>26</v>
      </c>
      <c r="B93" s="4" t="s">
        <v>225</v>
      </c>
      <c r="C93" s="4" t="s">
        <v>226</v>
      </c>
      <c r="D93" s="4" t="s">
        <v>227</v>
      </c>
      <c r="E93" s="4" t="s">
        <v>228</v>
      </c>
      <c r="F93" s="4" t="s">
        <v>233</v>
      </c>
      <c r="G93" s="4" t="s">
        <v>234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5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5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4.0335592126492409E-4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2.2408662292495788E-5</v>
      </c>
      <c r="AT93" t="str">
        <f t="shared" si="1"/>
        <v/>
      </c>
    </row>
    <row r="94" spans="1:46" x14ac:dyDescent="0.3">
      <c r="A94" s="4" t="s">
        <v>26</v>
      </c>
      <c r="B94" s="4" t="s">
        <v>225</v>
      </c>
      <c r="C94" s="4" t="s">
        <v>226</v>
      </c>
      <c r="D94" s="4" t="s">
        <v>235</v>
      </c>
      <c r="E94" s="4" t="s">
        <v>236</v>
      </c>
      <c r="F94" s="4" t="s">
        <v>31</v>
      </c>
      <c r="G94" s="4" t="s">
        <v>31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4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4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3.2268473701193927E-4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0</v>
      </c>
      <c r="AS94" s="5">
        <v>1.7926929833996631E-5</v>
      </c>
      <c r="AT94" t="str">
        <f t="shared" si="1"/>
        <v/>
      </c>
    </row>
    <row r="95" spans="1:46" x14ac:dyDescent="0.3">
      <c r="A95" s="4" t="s">
        <v>26</v>
      </c>
      <c r="B95" s="4" t="s">
        <v>225</v>
      </c>
      <c r="C95" s="4" t="s">
        <v>226</v>
      </c>
      <c r="D95" s="4" t="s">
        <v>235</v>
      </c>
      <c r="E95" s="4" t="s">
        <v>237</v>
      </c>
      <c r="F95" s="4" t="s">
        <v>238</v>
      </c>
      <c r="G95" s="4" t="s">
        <v>37</v>
      </c>
      <c r="H95" s="4">
        <v>5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5</v>
      </c>
      <c r="AA95" s="5">
        <v>4.0335592126492409E-4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2.2408662292495788E-5</v>
      </c>
      <c r="AT95" t="str">
        <f t="shared" si="1"/>
        <v/>
      </c>
    </row>
    <row r="96" spans="1:46" x14ac:dyDescent="0.3">
      <c r="A96" s="4" t="s">
        <v>26</v>
      </c>
      <c r="B96" s="4" t="s">
        <v>225</v>
      </c>
      <c r="C96" s="4" t="s">
        <v>226</v>
      </c>
      <c r="D96" s="4" t="s">
        <v>239</v>
      </c>
      <c r="E96" s="4" t="s">
        <v>240</v>
      </c>
      <c r="F96" s="4" t="s">
        <v>241</v>
      </c>
      <c r="G96" s="4" t="s">
        <v>242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11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11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8.8738302678283316E-4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s="5">
        <v>0</v>
      </c>
      <c r="AS96" s="5">
        <v>4.929905704349073E-5</v>
      </c>
      <c r="AT96" t="str">
        <f t="shared" si="1"/>
        <v/>
      </c>
    </row>
    <row r="97" spans="1:46" x14ac:dyDescent="0.3">
      <c r="A97" s="4" t="s">
        <v>26</v>
      </c>
      <c r="B97" s="4" t="s">
        <v>225</v>
      </c>
      <c r="C97" s="4" t="s">
        <v>226</v>
      </c>
      <c r="D97" s="4" t="s">
        <v>239</v>
      </c>
      <c r="E97" s="4" t="s">
        <v>240</v>
      </c>
      <c r="F97" s="4" t="s">
        <v>241</v>
      </c>
      <c r="G97" s="4" t="s">
        <v>31</v>
      </c>
      <c r="H97" s="4">
        <v>6</v>
      </c>
      <c r="I97" s="4">
        <v>0</v>
      </c>
      <c r="J97" s="4">
        <v>2</v>
      </c>
      <c r="K97" s="4">
        <v>17</v>
      </c>
      <c r="L97" s="4">
        <v>5</v>
      </c>
      <c r="M97" s="4">
        <v>16</v>
      </c>
      <c r="N97" s="4">
        <v>8</v>
      </c>
      <c r="O97" s="4">
        <v>4</v>
      </c>
      <c r="P97" s="4">
        <v>4</v>
      </c>
      <c r="Q97" s="4">
        <v>5</v>
      </c>
      <c r="R97" s="4">
        <v>5</v>
      </c>
      <c r="S97" s="4">
        <v>13</v>
      </c>
      <c r="T97" s="4">
        <v>8</v>
      </c>
      <c r="U97" s="4">
        <v>84</v>
      </c>
      <c r="V97" s="4">
        <v>7</v>
      </c>
      <c r="W97" s="4">
        <v>9</v>
      </c>
      <c r="X97" s="4">
        <v>13</v>
      </c>
      <c r="Y97" s="4">
        <v>9</v>
      </c>
      <c r="Z97" s="4">
        <v>215</v>
      </c>
      <c r="AA97" s="5">
        <v>4.8402710551790902E-4</v>
      </c>
      <c r="AB97" s="5">
        <v>0</v>
      </c>
      <c r="AC97" s="5">
        <v>1.6134236850596969E-4</v>
      </c>
      <c r="AD97" s="5">
        <v>1.371410132300742E-3</v>
      </c>
      <c r="AE97" s="5">
        <v>4.0335592126492409E-4</v>
      </c>
      <c r="AF97" s="5">
        <v>1.2907389480477571E-3</v>
      </c>
      <c r="AG97" s="5">
        <v>6.4536947402387866E-4</v>
      </c>
      <c r="AH97" s="5">
        <v>3.2268473701193927E-4</v>
      </c>
      <c r="AI97" s="5">
        <v>3.2268473701193927E-4</v>
      </c>
      <c r="AJ97" s="5">
        <v>4.0335592126492409E-4</v>
      </c>
      <c r="AK97" s="5">
        <v>4.0335592126492409E-4</v>
      </c>
      <c r="AL97" s="5">
        <v>1.0487253952888029E-3</v>
      </c>
      <c r="AM97" s="5">
        <v>6.4536947402387866E-4</v>
      </c>
      <c r="AN97" s="5">
        <v>6.7763794772507258E-3</v>
      </c>
      <c r="AO97" s="5">
        <v>5.6469828977089378E-4</v>
      </c>
      <c r="AP97" s="5">
        <v>7.2604065827686353E-4</v>
      </c>
      <c r="AQ97" s="5">
        <v>1.0487253952888029E-3</v>
      </c>
      <c r="AR97" s="5">
        <v>7.2604065827686353E-4</v>
      </c>
      <c r="AS97" s="5">
        <v>9.6357247857731883E-4</v>
      </c>
      <c r="AT97" t="str">
        <f t="shared" si="1"/>
        <v/>
      </c>
    </row>
    <row r="98" spans="1:46" x14ac:dyDescent="0.3">
      <c r="A98" s="4" t="s">
        <v>26</v>
      </c>
      <c r="B98" s="4" t="s">
        <v>225</v>
      </c>
      <c r="C98" s="4" t="s">
        <v>226</v>
      </c>
      <c r="D98" s="4" t="s">
        <v>239</v>
      </c>
      <c r="E98" s="4" t="s">
        <v>243</v>
      </c>
      <c r="F98" s="4" t="s">
        <v>244</v>
      </c>
      <c r="G98" s="4" t="s">
        <v>37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3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3</v>
      </c>
      <c r="X98" s="4">
        <v>0</v>
      </c>
      <c r="Y98" s="4">
        <v>0</v>
      </c>
      <c r="Z98" s="4">
        <v>6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2.4201355275895451E-4</v>
      </c>
      <c r="AK98" s="5">
        <v>0</v>
      </c>
      <c r="AL98" s="5">
        <v>0</v>
      </c>
      <c r="AM98" s="5">
        <v>0</v>
      </c>
      <c r="AN98" s="5">
        <v>0</v>
      </c>
      <c r="AO98" s="5">
        <v>0</v>
      </c>
      <c r="AP98" s="5">
        <v>2.4201355275895451E-4</v>
      </c>
      <c r="AQ98" s="5">
        <v>0</v>
      </c>
      <c r="AR98" s="5">
        <v>0</v>
      </c>
      <c r="AS98" s="5">
        <v>2.6890394750994945E-5</v>
      </c>
      <c r="AT98" t="str">
        <f t="shared" si="1"/>
        <v/>
      </c>
    </row>
    <row r="99" spans="1:46" x14ac:dyDescent="0.3">
      <c r="A99" s="4" t="s">
        <v>26</v>
      </c>
      <c r="B99" s="4" t="s">
        <v>225</v>
      </c>
      <c r="C99" s="4" t="s">
        <v>226</v>
      </c>
      <c r="D99" s="4" t="s">
        <v>245</v>
      </c>
      <c r="E99" s="4" t="s">
        <v>246</v>
      </c>
      <c r="F99" s="4" t="s">
        <v>247</v>
      </c>
      <c r="G99" s="4" t="s">
        <v>31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1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1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8.0671184252984832E-5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4.4817324584991578E-6</v>
      </c>
      <c r="AT99" t="str">
        <f t="shared" si="1"/>
        <v/>
      </c>
    </row>
    <row r="100" spans="1:46" x14ac:dyDescent="0.3">
      <c r="A100" s="4" t="s">
        <v>26</v>
      </c>
      <c r="B100" s="4" t="s">
        <v>225</v>
      </c>
      <c r="C100" s="4" t="s">
        <v>226</v>
      </c>
      <c r="D100" s="4" t="s">
        <v>248</v>
      </c>
      <c r="E100" s="4" t="s">
        <v>249</v>
      </c>
      <c r="F100" s="4" t="s">
        <v>250</v>
      </c>
      <c r="G100" s="4" t="s">
        <v>31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4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4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3.2268473701193927E-4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1.7926929833996631E-5</v>
      </c>
      <c r="AT100" t="str">
        <f t="shared" si="1"/>
        <v/>
      </c>
    </row>
    <row r="101" spans="1:46" x14ac:dyDescent="0.3">
      <c r="A101" s="4" t="s">
        <v>26</v>
      </c>
      <c r="B101" s="4" t="s">
        <v>225</v>
      </c>
      <c r="C101" s="4" t="s">
        <v>226</v>
      </c>
      <c r="D101" s="4" t="s">
        <v>248</v>
      </c>
      <c r="E101" s="4" t="s">
        <v>249</v>
      </c>
      <c r="F101" s="4" t="s">
        <v>251</v>
      </c>
      <c r="G101" s="4" t="s">
        <v>31</v>
      </c>
      <c r="H101" s="4">
        <v>41</v>
      </c>
      <c r="I101" s="4">
        <v>76</v>
      </c>
      <c r="J101" s="4">
        <v>27</v>
      </c>
      <c r="K101" s="4">
        <v>67</v>
      </c>
      <c r="L101" s="4">
        <v>33</v>
      </c>
      <c r="M101" s="4">
        <v>22</v>
      </c>
      <c r="N101" s="4">
        <v>28</v>
      </c>
      <c r="O101" s="4">
        <v>14</v>
      </c>
      <c r="P101" s="4">
        <v>29</v>
      </c>
      <c r="Q101" s="4">
        <v>53</v>
      </c>
      <c r="R101" s="4">
        <v>32</v>
      </c>
      <c r="S101" s="4">
        <v>23</v>
      </c>
      <c r="T101" s="4">
        <v>34</v>
      </c>
      <c r="U101" s="4">
        <v>53</v>
      </c>
      <c r="V101" s="4">
        <v>36</v>
      </c>
      <c r="W101" s="4">
        <v>46</v>
      </c>
      <c r="X101" s="4">
        <v>43</v>
      </c>
      <c r="Y101" s="4">
        <v>58</v>
      </c>
      <c r="Z101" s="4">
        <v>715</v>
      </c>
      <c r="AA101" s="5">
        <v>3.307518554372378E-3</v>
      </c>
      <c r="AB101" s="5">
        <v>6.1310100032268477E-3</v>
      </c>
      <c r="AC101" s="5">
        <v>2.1781219748305911E-3</v>
      </c>
      <c r="AD101" s="5">
        <v>5.4049693449499843E-3</v>
      </c>
      <c r="AE101" s="5">
        <v>2.6621490803484991E-3</v>
      </c>
      <c r="AF101" s="5">
        <v>1.7747660535656659E-3</v>
      </c>
      <c r="AG101" s="5">
        <v>2.2587931590835751E-3</v>
      </c>
      <c r="AH101" s="5">
        <v>1.129396579541788E-3</v>
      </c>
      <c r="AI101" s="5">
        <v>2.33946434333656E-3</v>
      </c>
      <c r="AJ101" s="5">
        <v>4.2755727654081961E-3</v>
      </c>
      <c r="AK101" s="5">
        <v>2.5814778960955151E-3</v>
      </c>
      <c r="AL101" s="5">
        <v>1.855437237818651E-3</v>
      </c>
      <c r="AM101" s="5">
        <v>2.7428202646014839E-3</v>
      </c>
      <c r="AN101" s="5">
        <v>4.2755727654081961E-3</v>
      </c>
      <c r="AO101" s="5">
        <v>2.9041626331074541E-3</v>
      </c>
      <c r="AP101" s="5">
        <v>3.710874475637302E-3</v>
      </c>
      <c r="AQ101" s="5">
        <v>3.4688609228783478E-3</v>
      </c>
      <c r="AR101" s="5">
        <v>4.67892868667312E-3</v>
      </c>
      <c r="AS101" s="5">
        <v>3.2044387078268978E-3</v>
      </c>
      <c r="AT101" t="str">
        <f t="shared" si="1"/>
        <v/>
      </c>
    </row>
    <row r="102" spans="1:46" x14ac:dyDescent="0.3">
      <c r="A102" s="4" t="s">
        <v>26</v>
      </c>
      <c r="B102" s="4" t="s">
        <v>225</v>
      </c>
      <c r="C102" s="4" t="s">
        <v>226</v>
      </c>
      <c r="D102" s="4" t="s">
        <v>248</v>
      </c>
      <c r="E102" s="4" t="s">
        <v>249</v>
      </c>
      <c r="F102" s="4" t="s">
        <v>252</v>
      </c>
      <c r="G102" s="4" t="s">
        <v>253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4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4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3.2268473701193927E-4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1.7926929833996631E-5</v>
      </c>
      <c r="AT102" t="str">
        <f t="shared" si="1"/>
        <v/>
      </c>
    </row>
    <row r="103" spans="1:46" x14ac:dyDescent="0.3">
      <c r="A103" s="4" t="s">
        <v>26</v>
      </c>
      <c r="B103" s="4" t="s">
        <v>225</v>
      </c>
      <c r="C103" s="4" t="s">
        <v>226</v>
      </c>
      <c r="D103" s="4" t="s">
        <v>248</v>
      </c>
      <c r="E103" s="4" t="s">
        <v>249</v>
      </c>
      <c r="F103" s="4" t="s">
        <v>252</v>
      </c>
      <c r="G103" s="4" t="s">
        <v>31</v>
      </c>
      <c r="H103" s="4">
        <v>4</v>
      </c>
      <c r="I103" s="4">
        <v>0</v>
      </c>
      <c r="J103" s="4">
        <v>0</v>
      </c>
      <c r="K103" s="4">
        <v>0</v>
      </c>
      <c r="L103" s="4">
        <v>0</v>
      </c>
      <c r="M103" s="4">
        <v>6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11</v>
      </c>
      <c r="T103" s="4">
        <v>8</v>
      </c>
      <c r="U103" s="4">
        <v>4</v>
      </c>
      <c r="V103" s="4">
        <v>12</v>
      </c>
      <c r="W103" s="4">
        <v>10</v>
      </c>
      <c r="X103" s="4">
        <v>0</v>
      </c>
      <c r="Y103" s="4">
        <v>0</v>
      </c>
      <c r="Z103" s="4">
        <v>55</v>
      </c>
      <c r="AA103" s="5">
        <v>3.2268473701193927E-4</v>
      </c>
      <c r="AB103" s="5">
        <v>0</v>
      </c>
      <c r="AC103" s="5">
        <v>0</v>
      </c>
      <c r="AD103" s="5">
        <v>0</v>
      </c>
      <c r="AE103" s="5">
        <v>0</v>
      </c>
      <c r="AF103" s="5">
        <v>4.8402710551790902E-4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8.8738302678283316E-4</v>
      </c>
      <c r="AM103" s="5">
        <v>6.4536947402387866E-4</v>
      </c>
      <c r="AN103" s="5">
        <v>3.2268473701193927E-4</v>
      </c>
      <c r="AO103" s="5">
        <v>9.6805421103581804E-4</v>
      </c>
      <c r="AP103" s="5">
        <v>8.0671184252984829E-4</v>
      </c>
      <c r="AQ103" s="5">
        <v>0</v>
      </c>
      <c r="AR103" s="5">
        <v>0</v>
      </c>
      <c r="AS103" s="5">
        <v>2.4649528521745366E-4</v>
      </c>
      <c r="AT103" t="str">
        <f t="shared" si="1"/>
        <v/>
      </c>
    </row>
    <row r="104" spans="1:46" x14ac:dyDescent="0.3">
      <c r="A104" s="4" t="s">
        <v>26</v>
      </c>
      <c r="B104" s="4" t="s">
        <v>225</v>
      </c>
      <c r="C104" s="4" t="s">
        <v>226</v>
      </c>
      <c r="D104" s="4" t="s">
        <v>248</v>
      </c>
      <c r="E104" s="4" t="s">
        <v>254</v>
      </c>
      <c r="F104" s="4" t="s">
        <v>255</v>
      </c>
      <c r="G104" s="4" t="s">
        <v>31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3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3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2.4201355275895451E-4</v>
      </c>
      <c r="AN104" s="5">
        <v>0</v>
      </c>
      <c r="AO104" s="5">
        <v>0</v>
      </c>
      <c r="AP104" s="5">
        <v>0</v>
      </c>
      <c r="AQ104" s="5">
        <v>0</v>
      </c>
      <c r="AR104" s="5">
        <v>0</v>
      </c>
      <c r="AS104" s="5">
        <v>1.3445197375497473E-5</v>
      </c>
      <c r="AT104" t="str">
        <f t="shared" si="1"/>
        <v/>
      </c>
    </row>
    <row r="105" spans="1:46" x14ac:dyDescent="0.3">
      <c r="A105" s="4" t="s">
        <v>26</v>
      </c>
      <c r="B105" s="4" t="s">
        <v>225</v>
      </c>
      <c r="C105" s="4" t="s">
        <v>226</v>
      </c>
      <c r="D105" s="4" t="s">
        <v>248</v>
      </c>
      <c r="E105" s="4" t="s">
        <v>256</v>
      </c>
      <c r="F105" s="4" t="s">
        <v>257</v>
      </c>
      <c r="G105" s="4" t="s">
        <v>31</v>
      </c>
      <c r="H105" s="4">
        <v>7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7</v>
      </c>
      <c r="AA105" s="5">
        <v>5.6469828977089378E-4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s="5">
        <v>0</v>
      </c>
      <c r="AS105" s="5">
        <v>3.1372127209494102E-5</v>
      </c>
      <c r="AT105" t="str">
        <f t="shared" si="1"/>
        <v/>
      </c>
    </row>
    <row r="106" spans="1:46" x14ac:dyDescent="0.3">
      <c r="A106" s="4" t="s">
        <v>26</v>
      </c>
      <c r="B106" s="4" t="s">
        <v>225</v>
      </c>
      <c r="C106" s="4" t="s">
        <v>226</v>
      </c>
      <c r="D106" s="4" t="s">
        <v>248</v>
      </c>
      <c r="E106" s="4" t="s">
        <v>256</v>
      </c>
      <c r="F106" s="4" t="s">
        <v>258</v>
      </c>
      <c r="G106" s="4" t="s">
        <v>31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13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13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1.0487253952888029E-3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5.8262521960489044E-5</v>
      </c>
      <c r="AT106" t="str">
        <f t="shared" si="1"/>
        <v/>
      </c>
    </row>
    <row r="107" spans="1:46" x14ac:dyDescent="0.3">
      <c r="A107" s="4" t="s">
        <v>26</v>
      </c>
      <c r="B107" s="4" t="s">
        <v>225</v>
      </c>
      <c r="C107" s="4" t="s">
        <v>226</v>
      </c>
      <c r="D107" s="4" t="s">
        <v>248</v>
      </c>
      <c r="E107" s="4" t="s">
        <v>256</v>
      </c>
      <c r="F107" s="4" t="s">
        <v>259</v>
      </c>
      <c r="G107" s="4" t="s">
        <v>31</v>
      </c>
      <c r="H107" s="4">
        <v>0</v>
      </c>
      <c r="I107" s="4">
        <v>22</v>
      </c>
      <c r="J107" s="4">
        <v>3</v>
      </c>
      <c r="K107" s="4">
        <v>15</v>
      </c>
      <c r="L107" s="4">
        <v>12</v>
      </c>
      <c r="M107" s="4">
        <v>0</v>
      </c>
      <c r="N107" s="4">
        <v>11</v>
      </c>
      <c r="O107" s="4">
        <v>0</v>
      </c>
      <c r="P107" s="4">
        <v>12</v>
      </c>
      <c r="Q107" s="4">
        <v>8</v>
      </c>
      <c r="R107" s="4">
        <v>7</v>
      </c>
      <c r="S107" s="4">
        <v>12</v>
      </c>
      <c r="T107" s="4">
        <v>0</v>
      </c>
      <c r="U107" s="4">
        <v>21</v>
      </c>
      <c r="V107" s="4">
        <v>7</v>
      </c>
      <c r="W107" s="4">
        <v>0</v>
      </c>
      <c r="X107" s="4">
        <v>13</v>
      </c>
      <c r="Y107" s="4">
        <v>3</v>
      </c>
      <c r="Z107" s="4">
        <v>146</v>
      </c>
      <c r="AA107" s="5">
        <v>0</v>
      </c>
      <c r="AB107" s="5">
        <v>1.7747660535656659E-3</v>
      </c>
      <c r="AC107" s="5">
        <v>2.4201355275895451E-4</v>
      </c>
      <c r="AD107" s="5">
        <v>1.210067763794772E-3</v>
      </c>
      <c r="AE107" s="5">
        <v>9.6805421103581804E-4</v>
      </c>
      <c r="AF107" s="5">
        <v>0</v>
      </c>
      <c r="AG107" s="5">
        <v>8.8738302678283316E-4</v>
      </c>
      <c r="AH107" s="5">
        <v>0</v>
      </c>
      <c r="AI107" s="5">
        <v>9.6805421103581804E-4</v>
      </c>
      <c r="AJ107" s="5">
        <v>6.4536947402387866E-4</v>
      </c>
      <c r="AK107" s="5">
        <v>5.6469828977089378E-4</v>
      </c>
      <c r="AL107" s="5">
        <v>9.6805421103581804E-4</v>
      </c>
      <c r="AM107" s="5">
        <v>0</v>
      </c>
      <c r="AN107" s="5">
        <v>1.694094869312681E-3</v>
      </c>
      <c r="AO107" s="5">
        <v>5.6469828977089378E-4</v>
      </c>
      <c r="AP107" s="5">
        <v>0</v>
      </c>
      <c r="AQ107" s="5">
        <v>1.0487253952888029E-3</v>
      </c>
      <c r="AR107" s="5">
        <v>2.4201355275895451E-4</v>
      </c>
      <c r="AS107" s="5">
        <v>6.5433293894087696E-4</v>
      </c>
      <c r="AT107" t="str">
        <f t="shared" si="1"/>
        <v/>
      </c>
    </row>
    <row r="108" spans="1:46" x14ac:dyDescent="0.3">
      <c r="A108" s="4" t="s">
        <v>26</v>
      </c>
      <c r="B108" s="4" t="s">
        <v>225</v>
      </c>
      <c r="C108" s="4" t="s">
        <v>226</v>
      </c>
      <c r="D108" s="4" t="s">
        <v>248</v>
      </c>
      <c r="E108" s="4" t="s">
        <v>260</v>
      </c>
      <c r="F108" s="4" t="s">
        <v>261</v>
      </c>
      <c r="G108" s="4" t="s">
        <v>262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11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11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8.8738302678283316E-4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s="5">
        <v>0</v>
      </c>
      <c r="AS108" s="5">
        <v>4.929905704349073E-5</v>
      </c>
      <c r="AT108" t="str">
        <f t="shared" si="1"/>
        <v/>
      </c>
    </row>
    <row r="109" spans="1:46" x14ac:dyDescent="0.3">
      <c r="A109" s="4" t="s">
        <v>26</v>
      </c>
      <c r="B109" s="4" t="s">
        <v>225</v>
      </c>
      <c r="C109" s="4" t="s">
        <v>226</v>
      </c>
      <c r="D109" s="4" t="s">
        <v>248</v>
      </c>
      <c r="E109" s="4" t="s">
        <v>260</v>
      </c>
      <c r="F109" s="4" t="s">
        <v>263</v>
      </c>
      <c r="G109" s="4" t="s">
        <v>31</v>
      </c>
      <c r="H109" s="4">
        <v>2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2</v>
      </c>
      <c r="AA109" s="5">
        <v>1.6134236850596969E-4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s="5">
        <v>0</v>
      </c>
      <c r="AS109" s="5">
        <v>8.9634649169983156E-6</v>
      </c>
      <c r="AT109" t="str">
        <f t="shared" si="1"/>
        <v/>
      </c>
    </row>
    <row r="110" spans="1:46" x14ac:dyDescent="0.3">
      <c r="A110" s="4" t="s">
        <v>26</v>
      </c>
      <c r="B110" s="4" t="s">
        <v>225</v>
      </c>
      <c r="C110" s="4" t="s">
        <v>226</v>
      </c>
      <c r="D110" s="4" t="s">
        <v>248</v>
      </c>
      <c r="E110" s="4" t="s">
        <v>264</v>
      </c>
      <c r="F110" s="4" t="s">
        <v>265</v>
      </c>
      <c r="G110" s="4" t="s">
        <v>31</v>
      </c>
      <c r="H110" s="4">
        <v>4</v>
      </c>
      <c r="I110" s="4">
        <v>15</v>
      </c>
      <c r="J110" s="4">
        <v>5</v>
      </c>
      <c r="K110" s="4">
        <v>17</v>
      </c>
      <c r="L110" s="4">
        <v>22</v>
      </c>
      <c r="M110" s="4">
        <v>5</v>
      </c>
      <c r="N110" s="4">
        <v>6</v>
      </c>
      <c r="O110" s="4">
        <v>20</v>
      </c>
      <c r="P110" s="4">
        <v>14</v>
      </c>
      <c r="Q110" s="4">
        <v>9</v>
      </c>
      <c r="R110" s="4">
        <v>6</v>
      </c>
      <c r="S110" s="4">
        <v>7</v>
      </c>
      <c r="T110" s="4">
        <v>16</v>
      </c>
      <c r="U110" s="4">
        <v>13</v>
      </c>
      <c r="V110" s="4">
        <v>17</v>
      </c>
      <c r="W110" s="4">
        <v>9</v>
      </c>
      <c r="X110" s="4">
        <v>27</v>
      </c>
      <c r="Y110" s="4">
        <v>0</v>
      </c>
      <c r="Z110" s="4">
        <v>212</v>
      </c>
      <c r="AA110" s="5">
        <v>3.2268473701193927E-4</v>
      </c>
      <c r="AB110" s="5">
        <v>1.210067763794772E-3</v>
      </c>
      <c r="AC110" s="5">
        <v>4.0335592126492409E-4</v>
      </c>
      <c r="AD110" s="5">
        <v>1.371410132300742E-3</v>
      </c>
      <c r="AE110" s="5">
        <v>1.7747660535656659E-3</v>
      </c>
      <c r="AF110" s="5">
        <v>4.0335592126492409E-4</v>
      </c>
      <c r="AG110" s="5">
        <v>4.8402710551790902E-4</v>
      </c>
      <c r="AH110" s="5">
        <v>1.613423685059697E-3</v>
      </c>
      <c r="AI110" s="5">
        <v>1.129396579541788E-3</v>
      </c>
      <c r="AJ110" s="5">
        <v>7.2604065827686353E-4</v>
      </c>
      <c r="AK110" s="5">
        <v>4.8402710551790902E-4</v>
      </c>
      <c r="AL110" s="5">
        <v>5.6469828977089378E-4</v>
      </c>
      <c r="AM110" s="5">
        <v>1.2907389480477571E-3</v>
      </c>
      <c r="AN110" s="5">
        <v>1.0487253952888029E-3</v>
      </c>
      <c r="AO110" s="5">
        <v>1.371410132300742E-3</v>
      </c>
      <c r="AP110" s="5">
        <v>7.2604065827686353E-4</v>
      </c>
      <c r="AQ110" s="5">
        <v>2.1781219748305911E-3</v>
      </c>
      <c r="AR110" s="5">
        <v>0</v>
      </c>
      <c r="AS110" s="5">
        <v>9.5012728120182142E-4</v>
      </c>
      <c r="AT110" t="str">
        <f t="shared" si="1"/>
        <v/>
      </c>
    </row>
    <row r="111" spans="1:46" x14ac:dyDescent="0.3">
      <c r="A111" s="4" t="s">
        <v>26</v>
      </c>
      <c r="B111" s="4" t="s">
        <v>225</v>
      </c>
      <c r="C111" s="4" t="s">
        <v>226</v>
      </c>
      <c r="D111" s="4" t="s">
        <v>266</v>
      </c>
      <c r="E111" s="4" t="s">
        <v>267</v>
      </c>
      <c r="F111" s="4" t="s">
        <v>268</v>
      </c>
      <c r="G111" s="4" t="s">
        <v>31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2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2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1.6134236850596969E-4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8.9634649169983156E-6</v>
      </c>
      <c r="AT111" t="str">
        <f t="shared" si="1"/>
        <v/>
      </c>
    </row>
    <row r="112" spans="1:46" x14ac:dyDescent="0.3">
      <c r="A112" s="4" t="s">
        <v>26</v>
      </c>
      <c r="B112" s="4" t="s">
        <v>225</v>
      </c>
      <c r="C112" s="4" t="s">
        <v>226</v>
      </c>
      <c r="D112" s="4" t="s">
        <v>266</v>
      </c>
      <c r="E112" s="4" t="s">
        <v>267</v>
      </c>
      <c r="F112" s="4" t="s">
        <v>269</v>
      </c>
      <c r="G112" s="4" t="s">
        <v>31</v>
      </c>
      <c r="H112" s="4">
        <v>1</v>
      </c>
      <c r="I112" s="4">
        <v>0</v>
      </c>
      <c r="J112" s="4">
        <v>0</v>
      </c>
      <c r="K112" s="4">
        <v>0</v>
      </c>
      <c r="L112" s="4">
        <v>6</v>
      </c>
      <c r="M112" s="4">
        <v>0</v>
      </c>
      <c r="N112" s="4">
        <v>0</v>
      </c>
      <c r="O112" s="4">
        <v>0</v>
      </c>
      <c r="P112" s="4">
        <v>3</v>
      </c>
      <c r="Q112" s="4">
        <v>0</v>
      </c>
      <c r="R112" s="4">
        <v>0</v>
      </c>
      <c r="S112" s="4">
        <v>0</v>
      </c>
      <c r="T112" s="4">
        <v>0</v>
      </c>
      <c r="U112" s="4">
        <v>9</v>
      </c>
      <c r="V112" s="4">
        <v>0</v>
      </c>
      <c r="W112" s="4">
        <v>0</v>
      </c>
      <c r="X112" s="4">
        <v>0</v>
      </c>
      <c r="Y112" s="4">
        <v>0</v>
      </c>
      <c r="Z112" s="4">
        <v>19</v>
      </c>
      <c r="AA112" s="5">
        <v>8.0671184252984832E-5</v>
      </c>
      <c r="AB112" s="5">
        <v>0</v>
      </c>
      <c r="AC112" s="5">
        <v>0</v>
      </c>
      <c r="AD112" s="5">
        <v>0</v>
      </c>
      <c r="AE112" s="5">
        <v>4.8402710551790902E-4</v>
      </c>
      <c r="AF112" s="5">
        <v>0</v>
      </c>
      <c r="AG112" s="5">
        <v>0</v>
      </c>
      <c r="AH112" s="5">
        <v>0</v>
      </c>
      <c r="AI112" s="5">
        <v>2.4201355275895451E-4</v>
      </c>
      <c r="AJ112" s="5">
        <v>0</v>
      </c>
      <c r="AK112" s="5">
        <v>0</v>
      </c>
      <c r="AL112" s="5">
        <v>0</v>
      </c>
      <c r="AM112" s="5">
        <v>0</v>
      </c>
      <c r="AN112" s="5">
        <v>7.2604065827686353E-4</v>
      </c>
      <c r="AO112" s="5">
        <v>0</v>
      </c>
      <c r="AP112" s="5">
        <v>0</v>
      </c>
      <c r="AQ112" s="5">
        <v>0</v>
      </c>
      <c r="AR112" s="5">
        <v>0</v>
      </c>
      <c r="AS112" s="5">
        <v>8.5152916711483985E-5</v>
      </c>
      <c r="AT112" t="str">
        <f t="shared" si="1"/>
        <v/>
      </c>
    </row>
    <row r="113" spans="1:46" x14ac:dyDescent="0.3">
      <c r="A113" s="4" t="s">
        <v>26</v>
      </c>
      <c r="B113" s="4" t="s">
        <v>225</v>
      </c>
      <c r="C113" s="4" t="s">
        <v>226</v>
      </c>
      <c r="D113" s="4" t="s">
        <v>266</v>
      </c>
      <c r="E113" s="4" t="s">
        <v>267</v>
      </c>
      <c r="F113" s="4" t="s">
        <v>270</v>
      </c>
      <c r="G113" s="4" t="s">
        <v>37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3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4</v>
      </c>
      <c r="Y113" s="4">
        <v>0</v>
      </c>
      <c r="Z113" s="4">
        <v>7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2.4201355275895451E-4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3.2268473701193927E-4</v>
      </c>
      <c r="AR113" s="5">
        <v>0</v>
      </c>
      <c r="AS113" s="5">
        <v>3.1372127209494102E-5</v>
      </c>
      <c r="AT113" t="str">
        <f t="shared" si="1"/>
        <v/>
      </c>
    </row>
    <row r="114" spans="1:46" x14ac:dyDescent="0.3">
      <c r="A114" s="4" t="s">
        <v>26</v>
      </c>
      <c r="B114" s="4" t="s">
        <v>225</v>
      </c>
      <c r="C114" s="4" t="s">
        <v>226</v>
      </c>
      <c r="D114" s="4" t="s">
        <v>271</v>
      </c>
      <c r="E114" s="4" t="s">
        <v>272</v>
      </c>
      <c r="F114" s="4" t="s">
        <v>273</v>
      </c>
      <c r="G114" s="4" t="s">
        <v>37</v>
      </c>
      <c r="H114" s="4">
        <v>7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7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6</v>
      </c>
      <c r="Z114" s="4">
        <v>20</v>
      </c>
      <c r="AA114" s="5">
        <v>5.6469828977089378E-4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5.6469828977089378E-4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4.8402710551790902E-4</v>
      </c>
      <c r="AS114" s="5">
        <v>8.9634649169983153E-5</v>
      </c>
      <c r="AT114" t="str">
        <f t="shared" si="1"/>
        <v/>
      </c>
    </row>
    <row r="115" spans="1:46" x14ac:dyDescent="0.3">
      <c r="A115" s="4" t="s">
        <v>26</v>
      </c>
      <c r="B115" s="4" t="s">
        <v>225</v>
      </c>
      <c r="C115" s="4" t="s">
        <v>226</v>
      </c>
      <c r="D115" s="4" t="s">
        <v>271</v>
      </c>
      <c r="E115" s="4" t="s">
        <v>272</v>
      </c>
      <c r="F115" s="4" t="s">
        <v>274</v>
      </c>
      <c r="G115" s="4" t="s">
        <v>31</v>
      </c>
      <c r="H115" s="4">
        <v>2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2</v>
      </c>
      <c r="AA115" s="5">
        <v>1.6134236850596969E-4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>
        <v>8.9634649169983156E-6</v>
      </c>
      <c r="AT115" t="str">
        <f t="shared" si="1"/>
        <v/>
      </c>
    </row>
    <row r="116" spans="1:46" x14ac:dyDescent="0.3">
      <c r="A116" s="4" t="s">
        <v>26</v>
      </c>
      <c r="B116" s="4" t="s">
        <v>225</v>
      </c>
      <c r="C116" s="4" t="s">
        <v>226</v>
      </c>
      <c r="D116" s="4" t="s">
        <v>271</v>
      </c>
      <c r="E116" s="4" t="s">
        <v>272</v>
      </c>
      <c r="F116" s="4" t="s">
        <v>275</v>
      </c>
      <c r="G116" s="4" t="s">
        <v>276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11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11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8.8738302678283316E-4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>
        <v>4.929905704349073E-5</v>
      </c>
      <c r="AT116" t="str">
        <f t="shared" si="1"/>
        <v/>
      </c>
    </row>
    <row r="117" spans="1:46" x14ac:dyDescent="0.3">
      <c r="A117" s="4" t="s">
        <v>26</v>
      </c>
      <c r="B117" s="4" t="s">
        <v>225</v>
      </c>
      <c r="C117" s="4" t="s">
        <v>226</v>
      </c>
      <c r="D117" s="4" t="s">
        <v>271</v>
      </c>
      <c r="E117" s="4" t="s">
        <v>272</v>
      </c>
      <c r="F117" s="4" t="s">
        <v>277</v>
      </c>
      <c r="G117" s="4" t="s">
        <v>278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7</v>
      </c>
      <c r="T117" s="4">
        <v>0</v>
      </c>
      <c r="U117" s="4">
        <v>0</v>
      </c>
      <c r="V117" s="4">
        <v>0</v>
      </c>
      <c r="W117" s="4">
        <v>9</v>
      </c>
      <c r="X117" s="4">
        <v>0</v>
      </c>
      <c r="Y117" s="4">
        <v>0</v>
      </c>
      <c r="Z117" s="4">
        <v>16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5.6469828977089378E-4</v>
      </c>
      <c r="AM117" s="5">
        <v>0</v>
      </c>
      <c r="AN117" s="5">
        <v>0</v>
      </c>
      <c r="AO117" s="5">
        <v>0</v>
      </c>
      <c r="AP117" s="5">
        <v>7.2604065827686353E-4</v>
      </c>
      <c r="AQ117" s="5">
        <v>0</v>
      </c>
      <c r="AR117" s="5">
        <v>0</v>
      </c>
      <c r="AS117" s="5">
        <v>7.1707719335986525E-5</v>
      </c>
      <c r="AT117" t="str">
        <f t="shared" si="1"/>
        <v/>
      </c>
    </row>
    <row r="118" spans="1:46" x14ac:dyDescent="0.3">
      <c r="A118" s="4" t="s">
        <v>26</v>
      </c>
      <c r="B118" s="4" t="s">
        <v>225</v>
      </c>
      <c r="C118" s="4" t="s">
        <v>226</v>
      </c>
      <c r="D118" s="4" t="s">
        <v>271</v>
      </c>
      <c r="E118" s="4" t="s">
        <v>272</v>
      </c>
      <c r="F118" s="4" t="s">
        <v>277</v>
      </c>
      <c r="G118" s="4" t="s">
        <v>31</v>
      </c>
      <c r="H118" s="4">
        <v>198</v>
      </c>
      <c r="I118" s="4">
        <v>262</v>
      </c>
      <c r="J118" s="4">
        <v>397</v>
      </c>
      <c r="K118" s="4">
        <v>306</v>
      </c>
      <c r="L118" s="4">
        <v>353</v>
      </c>
      <c r="M118" s="4">
        <v>241</v>
      </c>
      <c r="N118" s="4">
        <v>368</v>
      </c>
      <c r="O118" s="4">
        <v>282</v>
      </c>
      <c r="P118" s="4">
        <v>247</v>
      </c>
      <c r="Q118" s="4">
        <v>278</v>
      </c>
      <c r="R118" s="4">
        <v>309</v>
      </c>
      <c r="S118" s="4">
        <v>300</v>
      </c>
      <c r="T118" s="4">
        <v>315</v>
      </c>
      <c r="U118" s="4">
        <v>254</v>
      </c>
      <c r="V118" s="4">
        <v>271</v>
      </c>
      <c r="W118" s="4">
        <v>277</v>
      </c>
      <c r="X118" s="4">
        <v>298</v>
      </c>
      <c r="Y118" s="4">
        <v>231</v>
      </c>
      <c r="Z118" s="4">
        <v>5187</v>
      </c>
      <c r="AA118" s="5">
        <v>1.5972894482091E-2</v>
      </c>
      <c r="AB118" s="5">
        <v>2.1135850274282029E-2</v>
      </c>
      <c r="AC118" s="5">
        <v>3.2026460148434979E-2</v>
      </c>
      <c r="AD118" s="5">
        <v>2.4685382381413361E-2</v>
      </c>
      <c r="AE118" s="5">
        <v>2.847692804130365E-2</v>
      </c>
      <c r="AF118" s="5">
        <v>1.9441755404969341E-2</v>
      </c>
      <c r="AG118" s="5">
        <v>2.9686995805098419E-2</v>
      </c>
      <c r="AH118" s="5">
        <v>2.2749273959341721E-2</v>
      </c>
      <c r="AI118" s="5">
        <v>1.9925782510487249E-2</v>
      </c>
      <c r="AJ118" s="5">
        <v>2.242658922232978E-2</v>
      </c>
      <c r="AK118" s="5">
        <v>2.492739593417231E-2</v>
      </c>
      <c r="AL118" s="5">
        <v>2.420135527589545E-2</v>
      </c>
      <c r="AM118" s="5">
        <v>2.5411423039690219E-2</v>
      </c>
      <c r="AN118" s="5">
        <v>2.049048080025815E-2</v>
      </c>
      <c r="AO118" s="5">
        <v>2.186189093255889E-2</v>
      </c>
      <c r="AP118" s="5">
        <v>2.2345918038076801E-2</v>
      </c>
      <c r="AQ118" s="5">
        <v>2.4040012907389479E-2</v>
      </c>
      <c r="AR118" s="5">
        <v>1.8635043562439502E-2</v>
      </c>
      <c r="AS118" s="5">
        <v>2.3246746262235128E-2</v>
      </c>
      <c r="AT118" t="str">
        <f t="shared" si="1"/>
        <v/>
      </c>
    </row>
    <row r="119" spans="1:46" x14ac:dyDescent="0.3">
      <c r="A119" s="4" t="s">
        <v>26</v>
      </c>
      <c r="B119" s="4" t="s">
        <v>225</v>
      </c>
      <c r="C119" s="4" t="s">
        <v>226</v>
      </c>
      <c r="D119" s="4" t="s">
        <v>271</v>
      </c>
      <c r="E119" s="4" t="s">
        <v>272</v>
      </c>
      <c r="F119" s="4" t="s">
        <v>279</v>
      </c>
      <c r="G119" s="4" t="s">
        <v>280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4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4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3.2268473701193927E-4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1.7926929833996631E-5</v>
      </c>
      <c r="AT119" t="str">
        <f t="shared" si="1"/>
        <v/>
      </c>
    </row>
    <row r="120" spans="1:46" x14ac:dyDescent="0.3">
      <c r="A120" s="4" t="s">
        <v>26</v>
      </c>
      <c r="B120" s="4" t="s">
        <v>225</v>
      </c>
      <c r="C120" s="4" t="s">
        <v>226</v>
      </c>
      <c r="D120" s="4" t="s">
        <v>271</v>
      </c>
      <c r="E120" s="4" t="s">
        <v>272</v>
      </c>
      <c r="F120" s="4" t="s">
        <v>279</v>
      </c>
      <c r="G120" s="4" t="s">
        <v>31</v>
      </c>
      <c r="H120" s="4">
        <v>0</v>
      </c>
      <c r="I120" s="4">
        <v>0</v>
      </c>
      <c r="J120" s="4">
        <v>0</v>
      </c>
      <c r="K120" s="4">
        <v>0</v>
      </c>
      <c r="L120" s="4">
        <v>3</v>
      </c>
      <c r="M120" s="4">
        <v>0</v>
      </c>
      <c r="N120" s="4">
        <v>0</v>
      </c>
      <c r="O120" s="4">
        <v>0</v>
      </c>
      <c r="P120" s="4">
        <v>0</v>
      </c>
      <c r="Q120" s="4">
        <v>5</v>
      </c>
      <c r="R120" s="4">
        <v>2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2</v>
      </c>
      <c r="Z120" s="4">
        <v>12</v>
      </c>
      <c r="AA120" s="5">
        <v>0</v>
      </c>
      <c r="AB120" s="5">
        <v>0</v>
      </c>
      <c r="AC120" s="5">
        <v>0</v>
      </c>
      <c r="AD120" s="5">
        <v>0</v>
      </c>
      <c r="AE120" s="5">
        <v>2.4201355275895451E-4</v>
      </c>
      <c r="AF120" s="5">
        <v>0</v>
      </c>
      <c r="AG120" s="5">
        <v>0</v>
      </c>
      <c r="AH120" s="5">
        <v>0</v>
      </c>
      <c r="AI120" s="5">
        <v>0</v>
      </c>
      <c r="AJ120" s="5">
        <v>4.0335592126492409E-4</v>
      </c>
      <c r="AK120" s="5">
        <v>1.6134236850596969E-4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1.6134236850596969E-4</v>
      </c>
      <c r="AS120" s="5">
        <v>5.378078950198989E-5</v>
      </c>
      <c r="AT120" t="str">
        <f t="shared" si="1"/>
        <v/>
      </c>
    </row>
    <row r="121" spans="1:46" x14ac:dyDescent="0.3">
      <c r="A121" s="4" t="s">
        <v>26</v>
      </c>
      <c r="B121" s="4" t="s">
        <v>225</v>
      </c>
      <c r="C121" s="4" t="s">
        <v>226</v>
      </c>
      <c r="D121" s="4" t="s">
        <v>271</v>
      </c>
      <c r="E121" s="4" t="s">
        <v>272</v>
      </c>
      <c r="F121" s="4" t="s">
        <v>30</v>
      </c>
      <c r="G121" s="4" t="s">
        <v>31</v>
      </c>
      <c r="H121" s="4">
        <v>0</v>
      </c>
      <c r="I121" s="4">
        <v>4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27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31</v>
      </c>
      <c r="AA121" s="5">
        <v>0</v>
      </c>
      <c r="AB121" s="5">
        <v>3.2268473701193927E-4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2.1781219748305911E-3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1.3893370621347387E-4</v>
      </c>
      <c r="AT121" t="str">
        <f t="shared" si="1"/>
        <v/>
      </c>
    </row>
    <row r="122" spans="1:46" x14ac:dyDescent="0.3">
      <c r="A122" s="4" t="s">
        <v>26</v>
      </c>
      <c r="B122" s="4" t="s">
        <v>225</v>
      </c>
      <c r="C122" s="4" t="s">
        <v>226</v>
      </c>
      <c r="D122" s="4" t="s">
        <v>31</v>
      </c>
      <c r="E122" s="4" t="s">
        <v>31</v>
      </c>
      <c r="F122" s="4" t="s">
        <v>31</v>
      </c>
      <c r="G122" s="4" t="s">
        <v>31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5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5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4.0335592126492409E-4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>
        <v>2.2408662292495788E-5</v>
      </c>
      <c r="AT122" t="str">
        <f t="shared" si="1"/>
        <v/>
      </c>
    </row>
    <row r="123" spans="1:46" x14ac:dyDescent="0.3">
      <c r="A123" s="4" t="s">
        <v>26</v>
      </c>
      <c r="B123" s="4" t="s">
        <v>225</v>
      </c>
      <c r="C123" s="4" t="s">
        <v>281</v>
      </c>
      <c r="D123" s="4" t="s">
        <v>282</v>
      </c>
      <c r="E123" s="4" t="s">
        <v>283</v>
      </c>
      <c r="F123" s="4" t="s">
        <v>284</v>
      </c>
      <c r="G123" s="4" t="s">
        <v>285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14</v>
      </c>
      <c r="V123" s="4">
        <v>0</v>
      </c>
      <c r="W123" s="4">
        <v>0</v>
      </c>
      <c r="X123" s="4">
        <v>0</v>
      </c>
      <c r="Y123" s="4">
        <v>0</v>
      </c>
      <c r="Z123" s="4">
        <v>14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1.129396579541788E-3</v>
      </c>
      <c r="AO123" s="5">
        <v>0</v>
      </c>
      <c r="AP123" s="5">
        <v>0</v>
      </c>
      <c r="AQ123" s="5">
        <v>0</v>
      </c>
      <c r="AR123" s="5">
        <v>0</v>
      </c>
      <c r="AS123" s="5">
        <v>6.2744254418988204E-5</v>
      </c>
      <c r="AT123" t="str">
        <f t="shared" si="1"/>
        <v/>
      </c>
    </row>
    <row r="124" spans="1:46" x14ac:dyDescent="0.3">
      <c r="A124" s="4" t="s">
        <v>26</v>
      </c>
      <c r="B124" s="4" t="s">
        <v>225</v>
      </c>
      <c r="C124" s="4" t="s">
        <v>281</v>
      </c>
      <c r="D124" s="4" t="s">
        <v>286</v>
      </c>
      <c r="E124" s="4" t="s">
        <v>287</v>
      </c>
      <c r="F124" s="4" t="s">
        <v>288</v>
      </c>
      <c r="G124" s="4" t="s">
        <v>31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5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5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4.0335592126492409E-4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2.2408662292495788E-5</v>
      </c>
      <c r="AT124" t="str">
        <f t="shared" si="1"/>
        <v/>
      </c>
    </row>
    <row r="125" spans="1:46" x14ac:dyDescent="0.3">
      <c r="A125" s="4" t="s">
        <v>26</v>
      </c>
      <c r="B125" s="4" t="s">
        <v>225</v>
      </c>
      <c r="C125" s="4" t="s">
        <v>281</v>
      </c>
      <c r="D125" s="4" t="s">
        <v>289</v>
      </c>
      <c r="E125" s="4" t="s">
        <v>290</v>
      </c>
      <c r="F125" s="4" t="s">
        <v>291</v>
      </c>
      <c r="G125" s="4" t="s">
        <v>31</v>
      </c>
      <c r="H125" s="4">
        <v>445</v>
      </c>
      <c r="I125" s="4">
        <v>388</v>
      </c>
      <c r="J125" s="4">
        <v>287</v>
      </c>
      <c r="K125" s="4">
        <v>428</v>
      </c>
      <c r="L125" s="4">
        <v>452</v>
      </c>
      <c r="M125" s="4">
        <v>410</v>
      </c>
      <c r="N125" s="4">
        <v>423</v>
      </c>
      <c r="O125" s="4">
        <v>388</v>
      </c>
      <c r="P125" s="4">
        <v>503</v>
      </c>
      <c r="Q125" s="4">
        <v>410</v>
      </c>
      <c r="R125" s="4">
        <v>574</v>
      </c>
      <c r="S125" s="4">
        <v>461</v>
      </c>
      <c r="T125" s="4">
        <v>434</v>
      </c>
      <c r="U125" s="4">
        <v>395</v>
      </c>
      <c r="V125" s="4">
        <v>328</v>
      </c>
      <c r="W125" s="4">
        <v>504</v>
      </c>
      <c r="X125" s="4">
        <v>512</v>
      </c>
      <c r="Y125" s="4">
        <v>414</v>
      </c>
      <c r="Z125" s="4">
        <v>7756</v>
      </c>
      <c r="AA125" s="5">
        <v>3.5898676992578253E-2</v>
      </c>
      <c r="AB125" s="5">
        <v>3.1300419490158118E-2</v>
      </c>
      <c r="AC125" s="5">
        <v>2.3152629880606651E-2</v>
      </c>
      <c r="AD125" s="5">
        <v>3.452726686027751E-2</v>
      </c>
      <c r="AE125" s="5">
        <v>3.6463375282349143E-2</v>
      </c>
      <c r="AF125" s="5">
        <v>3.3075185543723781E-2</v>
      </c>
      <c r="AG125" s="5">
        <v>3.4123910939012583E-2</v>
      </c>
      <c r="AH125" s="5">
        <v>3.1300419490158118E-2</v>
      </c>
      <c r="AI125" s="5">
        <v>4.0577605679251373E-2</v>
      </c>
      <c r="AJ125" s="5">
        <v>3.3075185543723781E-2</v>
      </c>
      <c r="AK125" s="5">
        <v>4.6305259761213302E-2</v>
      </c>
      <c r="AL125" s="5">
        <v>3.7189415940626011E-2</v>
      </c>
      <c r="AM125" s="5">
        <v>3.5011293965795408E-2</v>
      </c>
      <c r="AN125" s="5">
        <v>3.1865117779929009E-2</v>
      </c>
      <c r="AO125" s="5">
        <v>2.6460148434979021E-2</v>
      </c>
      <c r="AP125" s="5">
        <v>4.0658276863504358E-2</v>
      </c>
      <c r="AQ125" s="5">
        <v>4.1303646337528227E-2</v>
      </c>
      <c r="AR125" s="5">
        <v>3.3397870280735723E-2</v>
      </c>
      <c r="AS125" s="5">
        <v>3.4760316948119464E-2</v>
      </c>
      <c r="AT125" t="str">
        <f t="shared" si="1"/>
        <v/>
      </c>
    </row>
    <row r="126" spans="1:46" x14ac:dyDescent="0.3">
      <c r="A126" s="4" t="s">
        <v>26</v>
      </c>
      <c r="B126" s="4" t="s">
        <v>225</v>
      </c>
      <c r="C126" s="4" t="s">
        <v>281</v>
      </c>
      <c r="D126" s="4" t="s">
        <v>289</v>
      </c>
      <c r="E126" s="4" t="s">
        <v>292</v>
      </c>
      <c r="F126" s="4" t="s">
        <v>293</v>
      </c>
      <c r="G126" s="4" t="s">
        <v>31</v>
      </c>
      <c r="H126" s="4">
        <v>0</v>
      </c>
      <c r="I126" s="4">
        <v>0</v>
      </c>
      <c r="J126" s="4">
        <v>0</v>
      </c>
      <c r="K126" s="4">
        <v>0</v>
      </c>
      <c r="L126" s="4">
        <v>17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2</v>
      </c>
      <c r="X126" s="4">
        <v>0</v>
      </c>
      <c r="Y126" s="4">
        <v>0</v>
      </c>
      <c r="Z126" s="4">
        <v>19</v>
      </c>
      <c r="AA126" s="5">
        <v>0</v>
      </c>
      <c r="AB126" s="5">
        <v>0</v>
      </c>
      <c r="AC126" s="5">
        <v>0</v>
      </c>
      <c r="AD126" s="5">
        <v>0</v>
      </c>
      <c r="AE126" s="5">
        <v>1.371410132300742E-3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1.6134236850596969E-4</v>
      </c>
      <c r="AQ126" s="5">
        <v>0</v>
      </c>
      <c r="AR126" s="5">
        <v>0</v>
      </c>
      <c r="AS126" s="5">
        <v>8.5152916711483985E-5</v>
      </c>
      <c r="AT126" t="str">
        <f t="shared" si="1"/>
        <v/>
      </c>
    </row>
    <row r="127" spans="1:46" x14ac:dyDescent="0.3">
      <c r="A127" s="4" t="s">
        <v>26</v>
      </c>
      <c r="B127" s="4" t="s">
        <v>225</v>
      </c>
      <c r="C127" s="4" t="s">
        <v>281</v>
      </c>
      <c r="D127" s="4" t="s">
        <v>289</v>
      </c>
      <c r="E127" s="4" t="s">
        <v>294</v>
      </c>
      <c r="F127" s="4" t="s">
        <v>295</v>
      </c>
      <c r="G127" s="4" t="s">
        <v>31</v>
      </c>
      <c r="H127" s="4">
        <v>7</v>
      </c>
      <c r="I127" s="4">
        <v>0</v>
      </c>
      <c r="J127" s="4">
        <v>4</v>
      </c>
      <c r="K127" s="4">
        <v>0</v>
      </c>
      <c r="L127" s="4">
        <v>4</v>
      </c>
      <c r="M127" s="4">
        <v>0</v>
      </c>
      <c r="N127" s="4">
        <v>0</v>
      </c>
      <c r="O127" s="4">
        <v>0</v>
      </c>
      <c r="P127" s="4">
        <v>23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9</v>
      </c>
      <c r="Y127" s="4">
        <v>0</v>
      </c>
      <c r="Z127" s="4">
        <v>47</v>
      </c>
      <c r="AA127" s="5">
        <v>5.6469828977089378E-4</v>
      </c>
      <c r="AB127" s="5">
        <v>0</v>
      </c>
      <c r="AC127" s="5">
        <v>3.2268473701193927E-4</v>
      </c>
      <c r="AD127" s="5">
        <v>0</v>
      </c>
      <c r="AE127" s="5">
        <v>3.2268473701193927E-4</v>
      </c>
      <c r="AF127" s="5">
        <v>0</v>
      </c>
      <c r="AG127" s="5">
        <v>0</v>
      </c>
      <c r="AH127" s="5">
        <v>0</v>
      </c>
      <c r="AI127" s="5">
        <v>1.855437237818651E-3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7.2604065827686353E-4</v>
      </c>
      <c r="AR127" s="5">
        <v>0</v>
      </c>
      <c r="AS127" s="5">
        <v>2.1064142554946041E-4</v>
      </c>
      <c r="AT127" t="str">
        <f t="shared" si="1"/>
        <v/>
      </c>
    </row>
    <row r="128" spans="1:46" x14ac:dyDescent="0.3">
      <c r="A128" s="4" t="s">
        <v>26</v>
      </c>
      <c r="B128" s="4" t="s">
        <v>225</v>
      </c>
      <c r="C128" s="4" t="s">
        <v>281</v>
      </c>
      <c r="D128" s="4" t="s">
        <v>289</v>
      </c>
      <c r="E128" s="4" t="s">
        <v>294</v>
      </c>
      <c r="F128" s="4" t="s">
        <v>296</v>
      </c>
      <c r="G128" s="4" t="s">
        <v>31</v>
      </c>
      <c r="H128" s="4">
        <v>0</v>
      </c>
      <c r="I128" s="4">
        <v>0</v>
      </c>
      <c r="J128" s="4">
        <v>3</v>
      </c>
      <c r="K128" s="4">
        <v>0</v>
      </c>
      <c r="L128" s="4">
        <v>9</v>
      </c>
      <c r="M128" s="4">
        <v>5</v>
      </c>
      <c r="N128" s="4">
        <v>0</v>
      </c>
      <c r="O128" s="4">
        <v>0</v>
      </c>
      <c r="P128" s="4">
        <v>2</v>
      </c>
      <c r="Q128" s="4">
        <v>0</v>
      </c>
      <c r="R128" s="4">
        <v>0</v>
      </c>
      <c r="S128" s="4">
        <v>0</v>
      </c>
      <c r="T128" s="4">
        <v>18</v>
      </c>
      <c r="U128" s="4">
        <v>0</v>
      </c>
      <c r="V128" s="4">
        <v>0</v>
      </c>
      <c r="W128" s="4">
        <v>0</v>
      </c>
      <c r="X128" s="4">
        <v>13</v>
      </c>
      <c r="Y128" s="4">
        <v>2</v>
      </c>
      <c r="Z128" s="4">
        <v>52</v>
      </c>
      <c r="AA128" s="5">
        <v>0</v>
      </c>
      <c r="AB128" s="5">
        <v>0</v>
      </c>
      <c r="AC128" s="5">
        <v>2.4201355275895451E-4</v>
      </c>
      <c r="AD128" s="5">
        <v>0</v>
      </c>
      <c r="AE128" s="5">
        <v>7.2604065827686353E-4</v>
      </c>
      <c r="AF128" s="5">
        <v>4.0335592126492409E-4</v>
      </c>
      <c r="AG128" s="5">
        <v>0</v>
      </c>
      <c r="AH128" s="5">
        <v>0</v>
      </c>
      <c r="AI128" s="5">
        <v>1.6134236850596969E-4</v>
      </c>
      <c r="AJ128" s="5">
        <v>0</v>
      </c>
      <c r="AK128" s="5">
        <v>0</v>
      </c>
      <c r="AL128" s="5">
        <v>0</v>
      </c>
      <c r="AM128" s="5">
        <v>1.4520813165537271E-3</v>
      </c>
      <c r="AN128" s="5">
        <v>0</v>
      </c>
      <c r="AO128" s="5">
        <v>0</v>
      </c>
      <c r="AP128" s="5">
        <v>0</v>
      </c>
      <c r="AQ128" s="5">
        <v>1.0487253952888029E-3</v>
      </c>
      <c r="AR128" s="5">
        <v>1.6134236850596969E-4</v>
      </c>
      <c r="AS128" s="5">
        <v>2.3305008784195618E-4</v>
      </c>
      <c r="AT128" t="str">
        <f t="shared" si="1"/>
        <v/>
      </c>
    </row>
    <row r="129" spans="1:46" x14ac:dyDescent="0.3">
      <c r="A129" s="4" t="s">
        <v>26</v>
      </c>
      <c r="B129" s="4" t="s">
        <v>225</v>
      </c>
      <c r="C129" s="4" t="s">
        <v>281</v>
      </c>
      <c r="D129" s="4" t="s">
        <v>289</v>
      </c>
      <c r="E129" s="4" t="s">
        <v>294</v>
      </c>
      <c r="F129" s="4" t="s">
        <v>297</v>
      </c>
      <c r="G129" s="4" t="s">
        <v>298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7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7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5.6469828977089378E-4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3.1372127209494102E-5</v>
      </c>
      <c r="AT129" t="str">
        <f t="shared" si="1"/>
        <v/>
      </c>
    </row>
    <row r="130" spans="1:46" x14ac:dyDescent="0.3">
      <c r="A130" s="4" t="s">
        <v>26</v>
      </c>
      <c r="B130" s="4" t="s">
        <v>225</v>
      </c>
      <c r="C130" s="4" t="s">
        <v>281</v>
      </c>
      <c r="D130" s="4" t="s">
        <v>289</v>
      </c>
      <c r="E130" s="4" t="s">
        <v>294</v>
      </c>
      <c r="F130" s="4" t="s">
        <v>299</v>
      </c>
      <c r="G130" s="4" t="s">
        <v>37</v>
      </c>
      <c r="H130" s="4">
        <v>0</v>
      </c>
      <c r="I130" s="4">
        <v>5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5</v>
      </c>
      <c r="AA130" s="5">
        <v>0</v>
      </c>
      <c r="AB130" s="5">
        <v>4.0335592126492409E-4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2.2408662292495788E-5</v>
      </c>
      <c r="AT130" t="str">
        <f t="shared" ref="AT130:AT161" si="2">IF(Z130=0,0,"")</f>
        <v/>
      </c>
    </row>
    <row r="131" spans="1:46" x14ac:dyDescent="0.3">
      <c r="A131" s="4" t="s">
        <v>26</v>
      </c>
      <c r="B131" s="4" t="s">
        <v>225</v>
      </c>
      <c r="C131" s="4" t="s">
        <v>281</v>
      </c>
      <c r="D131" s="4" t="s">
        <v>289</v>
      </c>
      <c r="E131" s="4" t="s">
        <v>294</v>
      </c>
      <c r="F131" s="4" t="s">
        <v>300</v>
      </c>
      <c r="G131" s="4" t="s">
        <v>31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6</v>
      </c>
      <c r="W131" s="4">
        <v>3</v>
      </c>
      <c r="X131" s="4">
        <v>0</v>
      </c>
      <c r="Y131" s="4">
        <v>2</v>
      </c>
      <c r="Z131" s="4">
        <v>11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4.8402710551790902E-4</v>
      </c>
      <c r="AP131" s="5">
        <v>2.4201355275895451E-4</v>
      </c>
      <c r="AQ131" s="5">
        <v>0</v>
      </c>
      <c r="AR131" s="5">
        <v>1.6134236850596969E-4</v>
      </c>
      <c r="AS131" s="5">
        <v>4.929905704349073E-5</v>
      </c>
      <c r="AT131" t="str">
        <f t="shared" si="2"/>
        <v/>
      </c>
    </row>
    <row r="132" spans="1:46" x14ac:dyDescent="0.3">
      <c r="A132" s="4" t="s">
        <v>26</v>
      </c>
      <c r="B132" s="4" t="s">
        <v>225</v>
      </c>
      <c r="C132" s="4" t="s">
        <v>281</v>
      </c>
      <c r="D132" s="4" t="s">
        <v>289</v>
      </c>
      <c r="E132" s="4" t="s">
        <v>294</v>
      </c>
      <c r="F132" s="4" t="s">
        <v>31</v>
      </c>
      <c r="G132" s="4" t="s">
        <v>31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2</v>
      </c>
      <c r="O132" s="4">
        <v>0</v>
      </c>
      <c r="P132" s="4">
        <v>0</v>
      </c>
      <c r="Q132" s="4">
        <v>11</v>
      </c>
      <c r="R132" s="4">
        <v>0</v>
      </c>
      <c r="S132" s="4">
        <v>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14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1.6134236850596969E-4</v>
      </c>
      <c r="AH132" s="5">
        <v>0</v>
      </c>
      <c r="AI132" s="5">
        <v>0</v>
      </c>
      <c r="AJ132" s="5">
        <v>8.8738302678283316E-4</v>
      </c>
      <c r="AK132" s="5">
        <v>0</v>
      </c>
      <c r="AL132" s="5">
        <v>8.0671184252984832E-5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6.2744254418988204E-5</v>
      </c>
      <c r="AT132" t="str">
        <f t="shared" si="2"/>
        <v/>
      </c>
    </row>
    <row r="133" spans="1:46" x14ac:dyDescent="0.3">
      <c r="A133" s="4" t="s">
        <v>26</v>
      </c>
      <c r="B133" s="4" t="s">
        <v>225</v>
      </c>
      <c r="C133" s="4" t="s">
        <v>281</v>
      </c>
      <c r="D133" s="4" t="s">
        <v>289</v>
      </c>
      <c r="E133" s="4" t="s">
        <v>301</v>
      </c>
      <c r="F133" s="4" t="s">
        <v>30</v>
      </c>
      <c r="G133" s="4" t="s">
        <v>37</v>
      </c>
      <c r="H133" s="4">
        <v>0</v>
      </c>
      <c r="I133" s="4">
        <v>0</v>
      </c>
      <c r="J133" s="4">
        <v>0</v>
      </c>
      <c r="K133" s="4">
        <v>0</v>
      </c>
      <c r="L133" s="4">
        <v>2</v>
      </c>
      <c r="M133" s="4">
        <v>0</v>
      </c>
      <c r="N133" s="4">
        <v>0</v>
      </c>
      <c r="O133" s="4">
        <v>5</v>
      </c>
      <c r="P133" s="4">
        <v>17</v>
      </c>
      <c r="Q133" s="4">
        <v>0</v>
      </c>
      <c r="R133" s="4">
        <v>0</v>
      </c>
      <c r="S133" s="4">
        <v>0</v>
      </c>
      <c r="T133" s="4">
        <v>6</v>
      </c>
      <c r="U133" s="4">
        <v>0</v>
      </c>
      <c r="V133" s="4">
        <v>0</v>
      </c>
      <c r="W133" s="4">
        <v>10</v>
      </c>
      <c r="X133" s="4">
        <v>0</v>
      </c>
      <c r="Y133" s="4">
        <v>0</v>
      </c>
      <c r="Z133" s="4">
        <v>40</v>
      </c>
      <c r="AA133" s="5">
        <v>0</v>
      </c>
      <c r="AB133" s="5">
        <v>0</v>
      </c>
      <c r="AC133" s="5">
        <v>0</v>
      </c>
      <c r="AD133" s="5">
        <v>0</v>
      </c>
      <c r="AE133" s="5">
        <v>1.6134236850596969E-4</v>
      </c>
      <c r="AF133" s="5">
        <v>0</v>
      </c>
      <c r="AG133" s="5">
        <v>0</v>
      </c>
      <c r="AH133" s="5">
        <v>4.0335592126492409E-4</v>
      </c>
      <c r="AI133" s="5">
        <v>1.371410132300742E-3</v>
      </c>
      <c r="AJ133" s="5">
        <v>0</v>
      </c>
      <c r="AK133" s="5">
        <v>0</v>
      </c>
      <c r="AL133" s="5">
        <v>0</v>
      </c>
      <c r="AM133" s="5">
        <v>4.8402710551790902E-4</v>
      </c>
      <c r="AN133" s="5">
        <v>0</v>
      </c>
      <c r="AO133" s="5">
        <v>0</v>
      </c>
      <c r="AP133" s="5">
        <v>8.0671184252984829E-4</v>
      </c>
      <c r="AQ133" s="5">
        <v>0</v>
      </c>
      <c r="AR133" s="5">
        <v>0</v>
      </c>
      <c r="AS133" s="5">
        <v>1.7926929833996631E-4</v>
      </c>
      <c r="AT133" t="str">
        <f t="shared" si="2"/>
        <v/>
      </c>
    </row>
    <row r="134" spans="1:46" x14ac:dyDescent="0.3">
      <c r="A134" s="4" t="s">
        <v>26</v>
      </c>
      <c r="B134" s="4" t="s">
        <v>225</v>
      </c>
      <c r="C134" s="4" t="s">
        <v>281</v>
      </c>
      <c r="D134" s="4" t="s">
        <v>289</v>
      </c>
      <c r="E134" s="4" t="s">
        <v>302</v>
      </c>
      <c r="F134" s="4" t="s">
        <v>303</v>
      </c>
      <c r="G134" s="4" t="s">
        <v>31</v>
      </c>
      <c r="H134" s="4">
        <v>0</v>
      </c>
      <c r="I134" s="4">
        <v>0</v>
      </c>
      <c r="J134" s="4">
        <v>0</v>
      </c>
      <c r="K134" s="4">
        <v>0</v>
      </c>
      <c r="L134" s="4">
        <v>5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5</v>
      </c>
      <c r="AA134" s="5">
        <v>0</v>
      </c>
      <c r="AB134" s="5">
        <v>0</v>
      </c>
      <c r="AC134" s="5">
        <v>0</v>
      </c>
      <c r="AD134" s="5">
        <v>0</v>
      </c>
      <c r="AE134" s="5">
        <v>4.0335592126492409E-4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>
        <v>2.2408662292495788E-5</v>
      </c>
      <c r="AT134" t="str">
        <f t="shared" si="2"/>
        <v/>
      </c>
    </row>
    <row r="135" spans="1:46" x14ac:dyDescent="0.3">
      <c r="A135" s="4" t="s">
        <v>26</v>
      </c>
      <c r="B135" s="4" t="s">
        <v>225</v>
      </c>
      <c r="C135" s="4" t="s">
        <v>281</v>
      </c>
      <c r="D135" s="4" t="s">
        <v>289</v>
      </c>
      <c r="E135" s="4" t="s">
        <v>302</v>
      </c>
      <c r="F135" s="4" t="s">
        <v>304</v>
      </c>
      <c r="G135" s="4" t="s">
        <v>31</v>
      </c>
      <c r="H135" s="4">
        <v>0</v>
      </c>
      <c r="I135" s="4">
        <v>0</v>
      </c>
      <c r="J135" s="4">
        <v>0</v>
      </c>
      <c r="K135" s="4">
        <v>0</v>
      </c>
      <c r="L135" s="4">
        <v>9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9</v>
      </c>
      <c r="AA135" s="5">
        <v>0</v>
      </c>
      <c r="AB135" s="5">
        <v>0</v>
      </c>
      <c r="AC135" s="5">
        <v>0</v>
      </c>
      <c r="AD135" s="5">
        <v>0</v>
      </c>
      <c r="AE135" s="5">
        <v>7.2604065827686353E-4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4.0335592126492416E-5</v>
      </c>
      <c r="AT135" t="str">
        <f t="shared" si="2"/>
        <v/>
      </c>
    </row>
    <row r="136" spans="1:46" x14ac:dyDescent="0.3">
      <c r="A136" s="4" t="s">
        <v>26</v>
      </c>
      <c r="B136" s="4" t="s">
        <v>225</v>
      </c>
      <c r="C136" s="4" t="s">
        <v>281</v>
      </c>
      <c r="D136" s="4" t="s">
        <v>289</v>
      </c>
      <c r="E136" s="4" t="s">
        <v>302</v>
      </c>
      <c r="F136" s="4" t="s">
        <v>30</v>
      </c>
      <c r="G136" s="4" t="s">
        <v>37</v>
      </c>
      <c r="H136" s="4">
        <v>0</v>
      </c>
      <c r="I136" s="4">
        <v>0</v>
      </c>
      <c r="J136" s="4">
        <v>0</v>
      </c>
      <c r="K136" s="4">
        <v>1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1</v>
      </c>
      <c r="AA136" s="5">
        <v>0</v>
      </c>
      <c r="AB136" s="5">
        <v>0</v>
      </c>
      <c r="AC136" s="5">
        <v>0</v>
      </c>
      <c r="AD136" s="5">
        <v>8.0671184252984832E-5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4.4817324584991578E-6</v>
      </c>
      <c r="AT136" t="str">
        <f t="shared" si="2"/>
        <v/>
      </c>
    </row>
    <row r="137" spans="1:46" x14ac:dyDescent="0.3">
      <c r="A137" s="4" t="s">
        <v>26</v>
      </c>
      <c r="B137" s="4" t="s">
        <v>225</v>
      </c>
      <c r="C137" s="4" t="s">
        <v>281</v>
      </c>
      <c r="D137" s="4" t="s">
        <v>289</v>
      </c>
      <c r="E137" s="4" t="s">
        <v>305</v>
      </c>
      <c r="F137" s="4" t="s">
        <v>306</v>
      </c>
      <c r="G137" s="4" t="s">
        <v>31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2</v>
      </c>
      <c r="Q137" s="4">
        <v>0</v>
      </c>
      <c r="R137" s="4">
        <v>3</v>
      </c>
      <c r="S137" s="4">
        <v>0</v>
      </c>
      <c r="T137" s="4">
        <v>2</v>
      </c>
      <c r="U137" s="4">
        <v>554</v>
      </c>
      <c r="V137" s="4">
        <v>4</v>
      </c>
      <c r="W137" s="4">
        <v>6</v>
      </c>
      <c r="X137" s="4">
        <v>3</v>
      </c>
      <c r="Y137" s="4">
        <v>0</v>
      </c>
      <c r="Z137" s="4">
        <v>574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1.6134236850596969E-4</v>
      </c>
      <c r="AJ137" s="5">
        <v>0</v>
      </c>
      <c r="AK137" s="5">
        <v>2.4201355275895451E-4</v>
      </c>
      <c r="AL137" s="5">
        <v>0</v>
      </c>
      <c r="AM137" s="5">
        <v>1.6134236850596969E-4</v>
      </c>
      <c r="AN137" s="5">
        <v>4.4691836076153603E-2</v>
      </c>
      <c r="AO137" s="5">
        <v>3.2268473701193927E-4</v>
      </c>
      <c r="AP137" s="5">
        <v>4.8402710551790902E-4</v>
      </c>
      <c r="AQ137" s="5">
        <v>2.4201355275895451E-4</v>
      </c>
      <c r="AR137" s="5">
        <v>0</v>
      </c>
      <c r="AS137" s="5">
        <v>2.5725144311785162E-3</v>
      </c>
      <c r="AT137" t="str">
        <f t="shared" si="2"/>
        <v/>
      </c>
    </row>
    <row r="138" spans="1:46" x14ac:dyDescent="0.3">
      <c r="A138" s="4" t="s">
        <v>26</v>
      </c>
      <c r="B138" s="4" t="s">
        <v>225</v>
      </c>
      <c r="C138" s="4" t="s">
        <v>281</v>
      </c>
      <c r="D138" s="4" t="s">
        <v>289</v>
      </c>
      <c r="E138" s="4" t="s">
        <v>307</v>
      </c>
      <c r="F138" s="4" t="s">
        <v>308</v>
      </c>
      <c r="G138" s="4" t="s">
        <v>31</v>
      </c>
      <c r="H138" s="4">
        <v>5</v>
      </c>
      <c r="I138" s="4">
        <v>1</v>
      </c>
      <c r="J138" s="4">
        <v>0</v>
      </c>
      <c r="K138" s="4">
        <v>4</v>
      </c>
      <c r="L138" s="4">
        <v>0</v>
      </c>
      <c r="M138" s="4">
        <v>0</v>
      </c>
      <c r="N138" s="4">
        <v>7</v>
      </c>
      <c r="O138" s="4">
        <v>0</v>
      </c>
      <c r="P138" s="4">
        <v>0</v>
      </c>
      <c r="Q138" s="4">
        <v>1</v>
      </c>
      <c r="R138" s="4">
        <v>10</v>
      </c>
      <c r="S138" s="4">
        <v>0</v>
      </c>
      <c r="T138" s="4">
        <v>0</v>
      </c>
      <c r="U138" s="4">
        <v>0</v>
      </c>
      <c r="V138" s="4">
        <v>4</v>
      </c>
      <c r="W138" s="4">
        <v>0</v>
      </c>
      <c r="X138" s="4">
        <v>5</v>
      </c>
      <c r="Y138" s="4">
        <v>8</v>
      </c>
      <c r="Z138" s="4">
        <v>45</v>
      </c>
      <c r="AA138" s="5">
        <v>4.0335592126492409E-4</v>
      </c>
      <c r="AB138" s="5">
        <v>8.0671184252984832E-5</v>
      </c>
      <c r="AC138" s="5">
        <v>0</v>
      </c>
      <c r="AD138" s="5">
        <v>3.2268473701193927E-4</v>
      </c>
      <c r="AE138" s="5">
        <v>0</v>
      </c>
      <c r="AF138" s="5">
        <v>0</v>
      </c>
      <c r="AG138" s="5">
        <v>5.6469828977089378E-4</v>
      </c>
      <c r="AH138" s="5">
        <v>0</v>
      </c>
      <c r="AI138" s="5">
        <v>0</v>
      </c>
      <c r="AJ138" s="5">
        <v>8.0671184252984832E-5</v>
      </c>
      <c r="AK138" s="5">
        <v>8.0671184252984829E-4</v>
      </c>
      <c r="AL138" s="5">
        <v>0</v>
      </c>
      <c r="AM138" s="5">
        <v>0</v>
      </c>
      <c r="AN138" s="5">
        <v>0</v>
      </c>
      <c r="AO138" s="5">
        <v>3.2268473701193927E-4</v>
      </c>
      <c r="AP138" s="5">
        <v>0</v>
      </c>
      <c r="AQ138" s="5">
        <v>4.0335592126492409E-4</v>
      </c>
      <c r="AR138" s="5">
        <v>6.4536947402387866E-4</v>
      </c>
      <c r="AS138" s="5">
        <v>2.0167796063246207E-4</v>
      </c>
      <c r="AT138" t="str">
        <f t="shared" si="2"/>
        <v/>
      </c>
    </row>
    <row r="139" spans="1:46" x14ac:dyDescent="0.3">
      <c r="A139" s="4" t="s">
        <v>26</v>
      </c>
      <c r="B139" s="4" t="s">
        <v>225</v>
      </c>
      <c r="C139" s="4" t="s">
        <v>281</v>
      </c>
      <c r="D139" s="4" t="s">
        <v>289</v>
      </c>
      <c r="E139" s="4" t="s">
        <v>31</v>
      </c>
      <c r="F139" s="4" t="s">
        <v>31</v>
      </c>
      <c r="G139" s="4" t="s">
        <v>31</v>
      </c>
      <c r="H139" s="4">
        <v>0</v>
      </c>
      <c r="I139" s="4">
        <v>1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1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2</v>
      </c>
      <c r="AA139" s="5">
        <v>0</v>
      </c>
      <c r="AB139" s="5">
        <v>8.0671184252984832E-5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8.0671184252984832E-5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8.9634649169983156E-6</v>
      </c>
      <c r="AT139" t="str">
        <f t="shared" si="2"/>
        <v/>
      </c>
    </row>
    <row r="140" spans="1:46" x14ac:dyDescent="0.3">
      <c r="A140" s="4" t="s">
        <v>26</v>
      </c>
      <c r="B140" s="4" t="s">
        <v>225</v>
      </c>
      <c r="C140" s="4" t="s">
        <v>281</v>
      </c>
      <c r="D140" s="4" t="s">
        <v>309</v>
      </c>
      <c r="E140" s="4" t="s">
        <v>310</v>
      </c>
      <c r="F140" s="4" t="s">
        <v>311</v>
      </c>
      <c r="G140" s="4" t="s">
        <v>312</v>
      </c>
      <c r="H140" s="4">
        <v>0</v>
      </c>
      <c r="I140" s="4">
        <v>0</v>
      </c>
      <c r="J140" s="4">
        <v>0</v>
      </c>
      <c r="K140" s="4">
        <v>1</v>
      </c>
      <c r="L140" s="4">
        <v>8</v>
      </c>
      <c r="M140" s="4">
        <v>0</v>
      </c>
      <c r="N140" s="4">
        <v>0</v>
      </c>
      <c r="O140" s="4">
        <v>0</v>
      </c>
      <c r="P140" s="4">
        <v>2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11</v>
      </c>
      <c r="AA140" s="5">
        <v>0</v>
      </c>
      <c r="AB140" s="5">
        <v>0</v>
      </c>
      <c r="AC140" s="5">
        <v>0</v>
      </c>
      <c r="AD140" s="5">
        <v>8.0671184252984832E-5</v>
      </c>
      <c r="AE140" s="5">
        <v>6.4536947402387866E-4</v>
      </c>
      <c r="AF140" s="5">
        <v>0</v>
      </c>
      <c r="AG140" s="5">
        <v>0</v>
      </c>
      <c r="AH140" s="5">
        <v>0</v>
      </c>
      <c r="AI140" s="5">
        <v>1.6134236850596969E-4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>
        <v>4.929905704349073E-5</v>
      </c>
      <c r="AT140" t="str">
        <f t="shared" si="2"/>
        <v/>
      </c>
    </row>
    <row r="141" spans="1:46" x14ac:dyDescent="0.3">
      <c r="A141" s="4" t="s">
        <v>26</v>
      </c>
      <c r="B141" s="4" t="s">
        <v>225</v>
      </c>
      <c r="C141" s="4" t="s">
        <v>281</v>
      </c>
      <c r="D141" s="4" t="s">
        <v>309</v>
      </c>
      <c r="E141" s="4" t="s">
        <v>310</v>
      </c>
      <c r="F141" s="4" t="s">
        <v>311</v>
      </c>
      <c r="G141" s="4" t="s">
        <v>313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>
        <v>0</v>
      </c>
      <c r="N141" s="4">
        <v>0</v>
      </c>
      <c r="O141" s="4">
        <v>5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8</v>
      </c>
      <c r="AA141" s="5">
        <v>0</v>
      </c>
      <c r="AB141" s="5">
        <v>0</v>
      </c>
      <c r="AC141" s="5">
        <v>0</v>
      </c>
      <c r="AD141" s="5">
        <v>2.4201355275895451E-4</v>
      </c>
      <c r="AE141" s="5">
        <v>0</v>
      </c>
      <c r="AF141" s="5">
        <v>0</v>
      </c>
      <c r="AG141" s="5">
        <v>0</v>
      </c>
      <c r="AH141" s="5">
        <v>4.0335592126492409E-4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3.5853859667993262E-5</v>
      </c>
      <c r="AT141" t="str">
        <f t="shared" si="2"/>
        <v/>
      </c>
    </row>
    <row r="142" spans="1:46" x14ac:dyDescent="0.3">
      <c r="A142" s="4" t="s">
        <v>26</v>
      </c>
      <c r="B142" s="4" t="s">
        <v>225</v>
      </c>
      <c r="C142" s="4" t="s">
        <v>281</v>
      </c>
      <c r="D142" s="4" t="s">
        <v>314</v>
      </c>
      <c r="E142" s="4" t="s">
        <v>315</v>
      </c>
      <c r="F142" s="4" t="s">
        <v>316</v>
      </c>
      <c r="G142" s="4" t="s">
        <v>31</v>
      </c>
      <c r="H142" s="4">
        <v>690</v>
      </c>
      <c r="I142" s="4">
        <v>685</v>
      </c>
      <c r="J142" s="4">
        <v>614</v>
      </c>
      <c r="K142" s="4">
        <v>779</v>
      </c>
      <c r="L142" s="4">
        <v>789</v>
      </c>
      <c r="M142" s="4">
        <v>703</v>
      </c>
      <c r="N142" s="4">
        <v>676</v>
      </c>
      <c r="O142" s="4">
        <v>747</v>
      </c>
      <c r="P142" s="4">
        <v>740</v>
      </c>
      <c r="Q142" s="4">
        <v>685</v>
      </c>
      <c r="R142" s="4">
        <v>698</v>
      </c>
      <c r="S142" s="4">
        <v>724</v>
      </c>
      <c r="T142" s="4">
        <v>717</v>
      </c>
      <c r="U142" s="4">
        <v>668</v>
      </c>
      <c r="V142" s="4">
        <v>805</v>
      </c>
      <c r="W142" s="4">
        <v>811</v>
      </c>
      <c r="X142" s="4">
        <v>768</v>
      </c>
      <c r="Y142" s="4">
        <v>779</v>
      </c>
      <c r="Z142" s="4">
        <v>13078</v>
      </c>
      <c r="AA142" s="5">
        <v>5.5663117134559542E-2</v>
      </c>
      <c r="AB142" s="5">
        <v>5.5259761213294609E-2</v>
      </c>
      <c r="AC142" s="5">
        <v>4.9532107131332687E-2</v>
      </c>
      <c r="AD142" s="5">
        <v>6.2842852533075186E-2</v>
      </c>
      <c r="AE142" s="5">
        <v>6.3649564375605039E-2</v>
      </c>
      <c r="AF142" s="5">
        <v>5.6711842529848337E-2</v>
      </c>
      <c r="AG142" s="5">
        <v>5.4533720555017748E-2</v>
      </c>
      <c r="AH142" s="5">
        <v>6.026137463697967E-2</v>
      </c>
      <c r="AI142" s="5">
        <v>5.969667634720878E-2</v>
      </c>
      <c r="AJ142" s="5">
        <v>5.5259761213294609E-2</v>
      </c>
      <c r="AK142" s="5">
        <v>5.6308486608583411E-2</v>
      </c>
      <c r="AL142" s="5">
        <v>5.8405937399161022E-2</v>
      </c>
      <c r="AM142" s="5">
        <v>5.7841239109390118E-2</v>
      </c>
      <c r="AN142" s="5">
        <v>5.3888351080993872E-2</v>
      </c>
      <c r="AO142" s="5">
        <v>6.494030332365279E-2</v>
      </c>
      <c r="AP142" s="5">
        <v>6.5424330429170702E-2</v>
      </c>
      <c r="AQ142" s="5">
        <v>6.1955469506292347E-2</v>
      </c>
      <c r="AR142" s="5">
        <v>6.2842852533075186E-2</v>
      </c>
      <c r="AS142" s="5">
        <v>5.8612097092251979E-2</v>
      </c>
      <c r="AT142" t="str">
        <f t="shared" si="2"/>
        <v/>
      </c>
    </row>
    <row r="143" spans="1:46" x14ac:dyDescent="0.3">
      <c r="A143" s="4" t="s">
        <v>26</v>
      </c>
      <c r="B143" s="4" t="s">
        <v>225</v>
      </c>
      <c r="C143" s="4" t="s">
        <v>281</v>
      </c>
      <c r="D143" s="4" t="s">
        <v>314</v>
      </c>
      <c r="E143" s="4" t="s">
        <v>315</v>
      </c>
      <c r="F143" s="4" t="s">
        <v>317</v>
      </c>
      <c r="G143" s="4" t="s">
        <v>318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1</v>
      </c>
      <c r="X143" s="4">
        <v>0</v>
      </c>
      <c r="Y143" s="4">
        <v>0</v>
      </c>
      <c r="Z143" s="4">
        <v>1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8.0671184252984832E-5</v>
      </c>
      <c r="AQ143" s="5">
        <v>0</v>
      </c>
      <c r="AR143" s="5">
        <v>0</v>
      </c>
      <c r="AS143" s="5">
        <v>4.4817324584991578E-6</v>
      </c>
      <c r="AT143" t="str">
        <f t="shared" si="2"/>
        <v/>
      </c>
    </row>
    <row r="144" spans="1:46" x14ac:dyDescent="0.3">
      <c r="A144" s="4" t="s">
        <v>26</v>
      </c>
      <c r="B144" s="4" t="s">
        <v>225</v>
      </c>
      <c r="C144" s="4" t="s">
        <v>281</v>
      </c>
      <c r="D144" s="4" t="s">
        <v>314</v>
      </c>
      <c r="E144" s="4" t="s">
        <v>315</v>
      </c>
      <c r="F144" s="4" t="s">
        <v>317</v>
      </c>
      <c r="G144" s="4" t="s">
        <v>31</v>
      </c>
      <c r="H144" s="4">
        <v>7033</v>
      </c>
      <c r="I144" s="4">
        <v>6973</v>
      </c>
      <c r="J144" s="4">
        <v>6348</v>
      </c>
      <c r="K144" s="4">
        <v>6736</v>
      </c>
      <c r="L144" s="4">
        <v>7299</v>
      </c>
      <c r="M144" s="4">
        <v>6696</v>
      </c>
      <c r="N144" s="4">
        <v>6176</v>
      </c>
      <c r="O144" s="4">
        <v>6431</v>
      </c>
      <c r="P144" s="4">
        <v>6279</v>
      </c>
      <c r="Q144" s="4">
        <v>6861</v>
      </c>
      <c r="R144" s="4">
        <v>7329</v>
      </c>
      <c r="S144" s="4">
        <v>6692</v>
      </c>
      <c r="T144" s="4">
        <v>6292</v>
      </c>
      <c r="U144" s="4">
        <v>6106</v>
      </c>
      <c r="V144" s="4">
        <v>6532</v>
      </c>
      <c r="W144" s="4">
        <v>6720</v>
      </c>
      <c r="X144" s="4">
        <v>7009</v>
      </c>
      <c r="Y144" s="4">
        <v>6636</v>
      </c>
      <c r="Z144" s="4">
        <v>120148</v>
      </c>
      <c r="AA144" s="5">
        <v>0.56736043885124232</v>
      </c>
      <c r="AB144" s="5">
        <v>0.56252016779606329</v>
      </c>
      <c r="AC144" s="5">
        <v>0.51210067763794775</v>
      </c>
      <c r="AD144" s="5">
        <v>0.5434010971281058</v>
      </c>
      <c r="AE144" s="5">
        <v>0.58881897386253634</v>
      </c>
      <c r="AF144" s="5">
        <v>0.54017424975798645</v>
      </c>
      <c r="AG144" s="5">
        <v>0.49822523394643431</v>
      </c>
      <c r="AH144" s="5">
        <v>0.51879638593094546</v>
      </c>
      <c r="AI144" s="5">
        <v>0.50653436592449175</v>
      </c>
      <c r="AJ144" s="5">
        <v>0.55348499515972893</v>
      </c>
      <c r="AK144" s="5">
        <v>0.59123910939012581</v>
      </c>
      <c r="AL144" s="5">
        <v>0.53985156502097453</v>
      </c>
      <c r="AM144" s="5">
        <v>0.50758309131978052</v>
      </c>
      <c r="AN144" s="5">
        <v>0.49257825104872538</v>
      </c>
      <c r="AO144" s="5">
        <v>0.52694417554049688</v>
      </c>
      <c r="AP144" s="5">
        <v>0.54211035818005804</v>
      </c>
      <c r="AQ144" s="5">
        <v>0.56542433042917073</v>
      </c>
      <c r="AR144" s="5">
        <v>0.53533397870280741</v>
      </c>
      <c r="AS144" s="5">
        <v>0.53847119142375677</v>
      </c>
      <c r="AT144" t="str">
        <f t="shared" si="2"/>
        <v/>
      </c>
    </row>
    <row r="145" spans="1:46" x14ac:dyDescent="0.3">
      <c r="A145" s="4" t="s">
        <v>26</v>
      </c>
      <c r="B145" s="4" t="s">
        <v>225</v>
      </c>
      <c r="C145" s="4" t="s">
        <v>281</v>
      </c>
      <c r="D145" s="4" t="s">
        <v>314</v>
      </c>
      <c r="E145" s="4" t="s">
        <v>315</v>
      </c>
      <c r="F145" s="4" t="s">
        <v>31</v>
      </c>
      <c r="G145" s="4" t="s">
        <v>31</v>
      </c>
      <c r="H145" s="4">
        <v>1890</v>
      </c>
      <c r="I145" s="4">
        <v>1939</v>
      </c>
      <c r="J145" s="4">
        <v>1878</v>
      </c>
      <c r="K145" s="4">
        <v>2064</v>
      </c>
      <c r="L145" s="4">
        <v>2263</v>
      </c>
      <c r="M145" s="4">
        <v>2131</v>
      </c>
      <c r="N145" s="4">
        <v>1966</v>
      </c>
      <c r="O145" s="4">
        <v>1887</v>
      </c>
      <c r="P145" s="4">
        <v>2067</v>
      </c>
      <c r="Q145" s="4">
        <v>2026</v>
      </c>
      <c r="R145" s="4">
        <v>2075</v>
      </c>
      <c r="S145" s="4">
        <v>2020</v>
      </c>
      <c r="T145" s="4">
        <v>1955</v>
      </c>
      <c r="U145" s="4">
        <v>2050</v>
      </c>
      <c r="V145" s="4">
        <v>2003</v>
      </c>
      <c r="W145" s="4">
        <v>2215</v>
      </c>
      <c r="X145" s="4">
        <v>2111</v>
      </c>
      <c r="Y145" s="4">
        <v>2048</v>
      </c>
      <c r="Z145" s="4">
        <v>36588</v>
      </c>
      <c r="AA145" s="5">
        <v>0.1524685382381413</v>
      </c>
      <c r="AB145" s="5">
        <v>0.1564214262665376</v>
      </c>
      <c r="AC145" s="5">
        <v>0.1515004840271055</v>
      </c>
      <c r="AD145" s="5">
        <v>0.1665053242981607</v>
      </c>
      <c r="AE145" s="5">
        <v>0.1825588899645047</v>
      </c>
      <c r="AF145" s="5">
        <v>0.1719102936431107</v>
      </c>
      <c r="AG145" s="5">
        <v>0.15859954824136821</v>
      </c>
      <c r="AH145" s="5">
        <v>0.15222652468538239</v>
      </c>
      <c r="AI145" s="5">
        <v>0.16674733785091969</v>
      </c>
      <c r="AJ145" s="5">
        <v>0.1634398192965473</v>
      </c>
      <c r="AK145" s="5">
        <v>0.16739270732494349</v>
      </c>
      <c r="AL145" s="5">
        <v>0.1629557921910294</v>
      </c>
      <c r="AM145" s="5">
        <v>0.15771216521458531</v>
      </c>
      <c r="AN145" s="5">
        <v>0.16537592771861889</v>
      </c>
      <c r="AO145" s="5">
        <v>0.1615843820587286</v>
      </c>
      <c r="AP145" s="5">
        <v>0.17868667312036141</v>
      </c>
      <c r="AQ145" s="5">
        <v>0.17029686995805099</v>
      </c>
      <c r="AR145" s="5">
        <v>0.16521458535011291</v>
      </c>
      <c r="AS145" s="5">
        <v>0.16397762719156717</v>
      </c>
      <c r="AT145" t="str">
        <f t="shared" si="2"/>
        <v/>
      </c>
    </row>
    <row r="146" spans="1:46" x14ac:dyDescent="0.3">
      <c r="A146" s="4" t="s">
        <v>26</v>
      </c>
      <c r="B146" s="4" t="s">
        <v>225</v>
      </c>
      <c r="C146" s="4" t="s">
        <v>281</v>
      </c>
      <c r="D146" s="4" t="s">
        <v>319</v>
      </c>
      <c r="E146" s="4" t="s">
        <v>319</v>
      </c>
      <c r="F146" s="4" t="s">
        <v>319</v>
      </c>
      <c r="G146" s="4" t="s">
        <v>37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1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8.0671184252984832E-5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>
        <v>4.4817324584991578E-6</v>
      </c>
      <c r="AT146" t="str">
        <f t="shared" si="2"/>
        <v/>
      </c>
    </row>
    <row r="147" spans="1:46" x14ac:dyDescent="0.3">
      <c r="A147" s="4" t="s">
        <v>26</v>
      </c>
      <c r="B147" s="4" t="s">
        <v>225</v>
      </c>
      <c r="C147" s="4" t="s">
        <v>281</v>
      </c>
      <c r="D147" s="4" t="s">
        <v>320</v>
      </c>
      <c r="E147" s="4" t="s">
        <v>321</v>
      </c>
      <c r="F147" s="4" t="s">
        <v>322</v>
      </c>
      <c r="G147" s="4" t="s">
        <v>31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1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1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8.0671184252984832E-5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4.4817324584991578E-6</v>
      </c>
      <c r="AT147" t="str">
        <f t="shared" si="2"/>
        <v/>
      </c>
    </row>
    <row r="148" spans="1:46" x14ac:dyDescent="0.3">
      <c r="A148" s="4" t="s">
        <v>26</v>
      </c>
      <c r="B148" s="4" t="s">
        <v>225</v>
      </c>
      <c r="C148" s="4" t="s">
        <v>281</v>
      </c>
      <c r="D148" s="4" t="s">
        <v>320</v>
      </c>
      <c r="E148" s="4" t="s">
        <v>321</v>
      </c>
      <c r="F148" s="4" t="s">
        <v>322</v>
      </c>
      <c r="G148" s="4" t="s">
        <v>37</v>
      </c>
      <c r="H148" s="4">
        <v>0</v>
      </c>
      <c r="I148" s="4">
        <v>0</v>
      </c>
      <c r="J148" s="4">
        <v>0</v>
      </c>
      <c r="K148" s="4">
        <v>0</v>
      </c>
      <c r="L148" s="4">
        <v>15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15</v>
      </c>
      <c r="AA148" s="5">
        <v>0</v>
      </c>
      <c r="AB148" s="5">
        <v>0</v>
      </c>
      <c r="AC148" s="5">
        <v>0</v>
      </c>
      <c r="AD148" s="5">
        <v>0</v>
      </c>
      <c r="AE148" s="5">
        <v>1.210067763794772E-3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>
        <v>6.7225986877487358E-5</v>
      </c>
      <c r="AT148" t="str">
        <f t="shared" si="2"/>
        <v/>
      </c>
    </row>
    <row r="149" spans="1:46" x14ac:dyDescent="0.3">
      <c r="A149" s="4" t="s">
        <v>26</v>
      </c>
      <c r="B149" s="4" t="s">
        <v>225</v>
      </c>
      <c r="C149" s="4" t="s">
        <v>281</v>
      </c>
      <c r="D149" s="4" t="s">
        <v>323</v>
      </c>
      <c r="E149" s="4" t="s">
        <v>324</v>
      </c>
      <c r="F149" s="4" t="s">
        <v>325</v>
      </c>
      <c r="G149" s="4" t="s">
        <v>31</v>
      </c>
      <c r="H149" s="4">
        <v>567</v>
      </c>
      <c r="I149" s="4">
        <v>528</v>
      </c>
      <c r="J149" s="4">
        <v>890</v>
      </c>
      <c r="K149" s="4">
        <v>692</v>
      </c>
      <c r="L149" s="4">
        <v>618</v>
      </c>
      <c r="M149" s="4">
        <v>595</v>
      </c>
      <c r="N149" s="4">
        <v>655</v>
      </c>
      <c r="O149" s="4">
        <v>676</v>
      </c>
      <c r="P149" s="4">
        <v>669</v>
      </c>
      <c r="Q149" s="4">
        <v>639</v>
      </c>
      <c r="R149" s="4">
        <v>731</v>
      </c>
      <c r="S149" s="4">
        <v>600</v>
      </c>
      <c r="T149" s="4">
        <v>651</v>
      </c>
      <c r="U149" s="4">
        <v>538</v>
      </c>
      <c r="V149" s="4">
        <v>746</v>
      </c>
      <c r="W149" s="4">
        <v>578</v>
      </c>
      <c r="X149" s="4">
        <v>618</v>
      </c>
      <c r="Y149" s="4">
        <v>603</v>
      </c>
      <c r="Z149" s="4">
        <v>11594</v>
      </c>
      <c r="AA149" s="5">
        <v>4.5740561471442398E-2</v>
      </c>
      <c r="AB149" s="5">
        <v>4.2594385285575992E-2</v>
      </c>
      <c r="AC149" s="5">
        <v>7.1797353985156506E-2</v>
      </c>
      <c r="AD149" s="5">
        <v>5.5824459503065513E-2</v>
      </c>
      <c r="AE149" s="5">
        <v>4.9854791868344628E-2</v>
      </c>
      <c r="AF149" s="5">
        <v>4.7999354630525973E-2</v>
      </c>
      <c r="AG149" s="5">
        <v>5.2839625685705063E-2</v>
      </c>
      <c r="AH149" s="5">
        <v>5.4533720555017748E-2</v>
      </c>
      <c r="AI149" s="5">
        <v>5.3969022265246851E-2</v>
      </c>
      <c r="AJ149" s="5">
        <v>5.1548886737657312E-2</v>
      </c>
      <c r="AK149" s="5">
        <v>5.8970635688931912E-2</v>
      </c>
      <c r="AL149" s="5">
        <v>4.8402710551790899E-2</v>
      </c>
      <c r="AM149" s="5">
        <v>5.2516940948693129E-2</v>
      </c>
      <c r="AN149" s="5">
        <v>4.3401097128105838E-2</v>
      </c>
      <c r="AO149" s="5">
        <v>6.0180703452726678E-2</v>
      </c>
      <c r="AP149" s="5">
        <v>4.6627944498225243E-2</v>
      </c>
      <c r="AQ149" s="5">
        <v>4.9854791868344628E-2</v>
      </c>
      <c r="AR149" s="5">
        <v>4.8644724104549862E-2</v>
      </c>
      <c r="AS149" s="5">
        <v>5.1961206123839233E-2</v>
      </c>
      <c r="AT149" t="str">
        <f t="shared" si="2"/>
        <v/>
      </c>
    </row>
    <row r="150" spans="1:46" x14ac:dyDescent="0.3">
      <c r="A150" s="4" t="s">
        <v>26</v>
      </c>
      <c r="B150" s="4" t="s">
        <v>225</v>
      </c>
      <c r="C150" s="4" t="s">
        <v>281</v>
      </c>
      <c r="D150" s="4" t="s">
        <v>323</v>
      </c>
      <c r="E150" s="4" t="s">
        <v>324</v>
      </c>
      <c r="F150" s="4" t="s">
        <v>326</v>
      </c>
      <c r="G150" s="4" t="s">
        <v>31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10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11</v>
      </c>
      <c r="T150" s="4">
        <v>0</v>
      </c>
      <c r="U150" s="4">
        <v>3</v>
      </c>
      <c r="V150" s="4">
        <v>3</v>
      </c>
      <c r="W150" s="4">
        <v>0</v>
      </c>
      <c r="X150" s="4">
        <v>0</v>
      </c>
      <c r="Y150" s="4">
        <v>7</v>
      </c>
      <c r="Z150" s="4">
        <v>34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8.0671184252984829E-4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8.8738302678283316E-4</v>
      </c>
      <c r="AM150" s="5">
        <v>0</v>
      </c>
      <c r="AN150" s="5">
        <v>2.4201355275895451E-4</v>
      </c>
      <c r="AO150" s="5">
        <v>2.4201355275895451E-4</v>
      </c>
      <c r="AP150" s="5">
        <v>0</v>
      </c>
      <c r="AQ150" s="5">
        <v>0</v>
      </c>
      <c r="AR150" s="5">
        <v>5.6469828977089378E-4</v>
      </c>
      <c r="AS150" s="5">
        <v>1.5237890358897136E-4</v>
      </c>
      <c r="AT150" t="str">
        <f t="shared" si="2"/>
        <v/>
      </c>
    </row>
    <row r="151" spans="1:46" x14ac:dyDescent="0.3">
      <c r="A151" s="4" t="s">
        <v>26</v>
      </c>
      <c r="B151" s="4" t="s">
        <v>225</v>
      </c>
      <c r="C151" s="4" t="s">
        <v>281</v>
      </c>
      <c r="D151" s="4" t="s">
        <v>323</v>
      </c>
      <c r="E151" s="4" t="s">
        <v>327</v>
      </c>
      <c r="F151" s="4" t="s">
        <v>328</v>
      </c>
      <c r="G151" s="4" t="s">
        <v>329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2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2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1.6134236850596969E-4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8.9634649169983156E-6</v>
      </c>
      <c r="AT151" t="str">
        <f t="shared" si="2"/>
        <v/>
      </c>
    </row>
    <row r="152" spans="1:46" x14ac:dyDescent="0.3">
      <c r="A152" s="4" t="s">
        <v>26</v>
      </c>
      <c r="B152" s="4" t="s">
        <v>225</v>
      </c>
      <c r="C152" s="4" t="s">
        <v>281</v>
      </c>
      <c r="D152" s="4" t="s">
        <v>323</v>
      </c>
      <c r="E152" s="4" t="s">
        <v>327</v>
      </c>
      <c r="F152" s="4" t="s">
        <v>328</v>
      </c>
      <c r="G152" s="4" t="s">
        <v>31</v>
      </c>
      <c r="H152" s="4">
        <v>0</v>
      </c>
      <c r="I152" s="4">
        <v>0</v>
      </c>
      <c r="J152" s="4">
        <v>17</v>
      </c>
      <c r="K152" s="4">
        <v>6</v>
      </c>
      <c r="L152" s="4">
        <v>10</v>
      </c>
      <c r="M152" s="4">
        <v>10</v>
      </c>
      <c r="N152" s="4">
        <v>15</v>
      </c>
      <c r="O152" s="4">
        <v>5</v>
      </c>
      <c r="P152" s="4">
        <v>27</v>
      </c>
      <c r="Q152" s="4">
        <v>18</v>
      </c>
      <c r="R152" s="4">
        <v>15</v>
      </c>
      <c r="S152" s="4">
        <v>14</v>
      </c>
      <c r="T152" s="4">
        <v>0</v>
      </c>
      <c r="U152" s="4">
        <v>13</v>
      </c>
      <c r="V152" s="4">
        <v>3</v>
      </c>
      <c r="W152" s="4">
        <v>7</v>
      </c>
      <c r="X152" s="4">
        <v>0</v>
      </c>
      <c r="Y152" s="4">
        <v>8</v>
      </c>
      <c r="Z152" s="4">
        <v>168</v>
      </c>
      <c r="AA152" s="5">
        <v>0</v>
      </c>
      <c r="AB152" s="5">
        <v>0</v>
      </c>
      <c r="AC152" s="5">
        <v>1.371410132300742E-3</v>
      </c>
      <c r="AD152" s="5">
        <v>4.8402710551790902E-4</v>
      </c>
      <c r="AE152" s="5">
        <v>8.0671184252984829E-4</v>
      </c>
      <c r="AF152" s="5">
        <v>8.0671184252984829E-4</v>
      </c>
      <c r="AG152" s="5">
        <v>1.210067763794772E-3</v>
      </c>
      <c r="AH152" s="5">
        <v>4.0335592126492409E-4</v>
      </c>
      <c r="AI152" s="5">
        <v>2.1781219748305911E-3</v>
      </c>
      <c r="AJ152" s="5">
        <v>1.4520813165537271E-3</v>
      </c>
      <c r="AK152" s="5">
        <v>1.210067763794772E-3</v>
      </c>
      <c r="AL152" s="5">
        <v>1.129396579541788E-3</v>
      </c>
      <c r="AM152" s="5">
        <v>0</v>
      </c>
      <c r="AN152" s="5">
        <v>1.0487253952888029E-3</v>
      </c>
      <c r="AO152" s="5">
        <v>2.4201355275895451E-4</v>
      </c>
      <c r="AP152" s="5">
        <v>5.6469828977089378E-4</v>
      </c>
      <c r="AQ152" s="5">
        <v>0</v>
      </c>
      <c r="AR152" s="5">
        <v>6.4536947402387866E-4</v>
      </c>
      <c r="AS152" s="5">
        <v>7.5293105302785845E-4</v>
      </c>
      <c r="AT152" t="str">
        <f t="shared" si="2"/>
        <v/>
      </c>
    </row>
    <row r="153" spans="1:46" x14ac:dyDescent="0.3">
      <c r="A153" s="4" t="s">
        <v>26</v>
      </c>
      <c r="B153" s="4" t="s">
        <v>225</v>
      </c>
      <c r="C153" s="4" t="s">
        <v>281</v>
      </c>
      <c r="D153" s="4" t="s">
        <v>330</v>
      </c>
      <c r="E153" s="4" t="s">
        <v>331</v>
      </c>
      <c r="F153" s="4" t="s">
        <v>332</v>
      </c>
      <c r="G153" s="4" t="s">
        <v>31</v>
      </c>
      <c r="H153" s="4">
        <v>0</v>
      </c>
      <c r="I153" s="4">
        <v>5</v>
      </c>
      <c r="J153" s="4">
        <v>0</v>
      </c>
      <c r="K153" s="4">
        <v>3</v>
      </c>
      <c r="L153" s="4">
        <v>0</v>
      </c>
      <c r="M153" s="4">
        <v>5</v>
      </c>
      <c r="N153" s="4">
        <v>5</v>
      </c>
      <c r="O153" s="4">
        <v>6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25</v>
      </c>
      <c r="X153" s="4">
        <v>0</v>
      </c>
      <c r="Y153" s="4">
        <v>4</v>
      </c>
      <c r="Z153" s="4">
        <v>53</v>
      </c>
      <c r="AA153" s="5">
        <v>0</v>
      </c>
      <c r="AB153" s="5">
        <v>4.0335592126492409E-4</v>
      </c>
      <c r="AC153" s="5">
        <v>0</v>
      </c>
      <c r="AD153" s="5">
        <v>2.4201355275895451E-4</v>
      </c>
      <c r="AE153" s="5">
        <v>0</v>
      </c>
      <c r="AF153" s="5">
        <v>4.0335592126492409E-4</v>
      </c>
      <c r="AG153" s="5">
        <v>4.0335592126492409E-4</v>
      </c>
      <c r="AH153" s="5">
        <v>4.8402710551790902E-4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2.0167796063246209E-3</v>
      </c>
      <c r="AQ153" s="5">
        <v>0</v>
      </c>
      <c r="AR153" s="5">
        <v>3.2268473701193927E-4</v>
      </c>
      <c r="AS153" s="5">
        <v>2.3753182030045536E-4</v>
      </c>
      <c r="AT153" t="str">
        <f t="shared" si="2"/>
        <v/>
      </c>
    </row>
    <row r="154" spans="1:46" x14ac:dyDescent="0.3">
      <c r="A154" s="4" t="s">
        <v>26</v>
      </c>
      <c r="B154" s="4" t="s">
        <v>225</v>
      </c>
      <c r="C154" s="4" t="s">
        <v>281</v>
      </c>
      <c r="D154" s="4" t="s">
        <v>333</v>
      </c>
      <c r="E154" s="4" t="s">
        <v>334</v>
      </c>
      <c r="F154" s="4" t="s">
        <v>335</v>
      </c>
      <c r="G154" s="4" t="s">
        <v>336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4</v>
      </c>
      <c r="X154" s="4">
        <v>0</v>
      </c>
      <c r="Y154" s="4">
        <v>0</v>
      </c>
      <c r="Z154" s="4">
        <v>4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3.2268473701193927E-4</v>
      </c>
      <c r="AQ154" s="5">
        <v>0</v>
      </c>
      <c r="AR154" s="5">
        <v>0</v>
      </c>
      <c r="AS154" s="5">
        <v>1.7926929833996631E-5</v>
      </c>
      <c r="AT154" t="str">
        <f t="shared" si="2"/>
        <v/>
      </c>
    </row>
    <row r="155" spans="1:46" x14ac:dyDescent="0.3">
      <c r="A155" s="4" t="s">
        <v>26</v>
      </c>
      <c r="B155" s="4" t="s">
        <v>225</v>
      </c>
      <c r="C155" s="4" t="s">
        <v>281</v>
      </c>
      <c r="D155" s="4" t="s">
        <v>333</v>
      </c>
      <c r="E155" s="4" t="s">
        <v>334</v>
      </c>
      <c r="F155" s="4" t="s">
        <v>337</v>
      </c>
      <c r="G155" s="4" t="s">
        <v>338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4</v>
      </c>
      <c r="N155" s="4">
        <v>9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4</v>
      </c>
      <c r="X155" s="4">
        <v>0</v>
      </c>
      <c r="Y155" s="4">
        <v>0</v>
      </c>
      <c r="Z155" s="4">
        <v>17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3.2268473701193927E-4</v>
      </c>
      <c r="AG155" s="5">
        <v>7.2604065827686353E-4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3.2268473701193927E-4</v>
      </c>
      <c r="AQ155" s="5">
        <v>0</v>
      </c>
      <c r="AR155" s="5">
        <v>0</v>
      </c>
      <c r="AS155" s="5">
        <v>7.6189451794485678E-5</v>
      </c>
      <c r="AT155" t="str">
        <f t="shared" si="2"/>
        <v/>
      </c>
    </row>
    <row r="156" spans="1:46" x14ac:dyDescent="0.3">
      <c r="A156" s="4" t="s">
        <v>26</v>
      </c>
      <c r="B156" s="4" t="s">
        <v>225</v>
      </c>
      <c r="C156" s="4" t="s">
        <v>281</v>
      </c>
      <c r="D156" s="4" t="s">
        <v>333</v>
      </c>
      <c r="E156" s="4" t="s">
        <v>334</v>
      </c>
      <c r="F156" s="4" t="s">
        <v>337</v>
      </c>
      <c r="G156" s="4" t="s">
        <v>31</v>
      </c>
      <c r="H156" s="4">
        <v>6</v>
      </c>
      <c r="I156" s="4">
        <v>13</v>
      </c>
      <c r="J156" s="4">
        <v>0</v>
      </c>
      <c r="K156" s="4">
        <v>12</v>
      </c>
      <c r="L156" s="4">
        <v>0</v>
      </c>
      <c r="M156" s="4">
        <v>0</v>
      </c>
      <c r="N156" s="4">
        <v>10</v>
      </c>
      <c r="O156" s="4">
        <v>16</v>
      </c>
      <c r="P156" s="4">
        <v>5</v>
      </c>
      <c r="Q156" s="4">
        <v>0</v>
      </c>
      <c r="R156" s="4">
        <v>7</v>
      </c>
      <c r="S156" s="4">
        <v>0</v>
      </c>
      <c r="T156" s="4">
        <v>0</v>
      </c>
      <c r="U156" s="4">
        <v>6</v>
      </c>
      <c r="V156" s="4">
        <v>6</v>
      </c>
      <c r="W156" s="4">
        <v>0</v>
      </c>
      <c r="X156" s="4">
        <v>0</v>
      </c>
      <c r="Y156" s="4">
        <v>5</v>
      </c>
      <c r="Z156" s="4">
        <v>86</v>
      </c>
      <c r="AA156" s="5">
        <v>4.8402710551790902E-4</v>
      </c>
      <c r="AB156" s="5">
        <v>1.0487253952888029E-3</v>
      </c>
      <c r="AC156" s="5">
        <v>0</v>
      </c>
      <c r="AD156" s="5">
        <v>9.6805421103581804E-4</v>
      </c>
      <c r="AE156" s="5">
        <v>0</v>
      </c>
      <c r="AF156" s="5">
        <v>0</v>
      </c>
      <c r="AG156" s="5">
        <v>8.0671184252984829E-4</v>
      </c>
      <c r="AH156" s="5">
        <v>1.2907389480477571E-3</v>
      </c>
      <c r="AI156" s="5">
        <v>4.0335592126492409E-4</v>
      </c>
      <c r="AJ156" s="5">
        <v>0</v>
      </c>
      <c r="AK156" s="5">
        <v>5.6469828977089378E-4</v>
      </c>
      <c r="AL156" s="5">
        <v>0</v>
      </c>
      <c r="AM156" s="5">
        <v>0</v>
      </c>
      <c r="AN156" s="5">
        <v>4.8402710551790902E-4</v>
      </c>
      <c r="AO156" s="5">
        <v>4.8402710551790902E-4</v>
      </c>
      <c r="AP156" s="5">
        <v>0</v>
      </c>
      <c r="AQ156" s="5">
        <v>0</v>
      </c>
      <c r="AR156" s="5">
        <v>4.0335592126492409E-4</v>
      </c>
      <c r="AS156" s="5">
        <v>3.8542899143092753E-4</v>
      </c>
      <c r="AT156" t="str">
        <f t="shared" si="2"/>
        <v/>
      </c>
    </row>
    <row r="157" spans="1:46" x14ac:dyDescent="0.3">
      <c r="A157" s="4" t="s">
        <v>26</v>
      </c>
      <c r="B157" s="4" t="s">
        <v>225</v>
      </c>
      <c r="C157" s="4" t="s">
        <v>281</v>
      </c>
      <c r="D157" s="4" t="s">
        <v>333</v>
      </c>
      <c r="E157" s="4" t="s">
        <v>334</v>
      </c>
      <c r="F157" s="4" t="s">
        <v>339</v>
      </c>
      <c r="G157" s="4" t="s">
        <v>37</v>
      </c>
      <c r="H157" s="4">
        <v>0</v>
      </c>
      <c r="I157" s="4">
        <v>0</v>
      </c>
      <c r="J157" s="4">
        <v>0</v>
      </c>
      <c r="K157" s="4">
        <v>2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2</v>
      </c>
      <c r="AA157" s="5">
        <v>0</v>
      </c>
      <c r="AB157" s="5">
        <v>0</v>
      </c>
      <c r="AC157" s="5">
        <v>0</v>
      </c>
      <c r="AD157" s="5">
        <v>1.6134236850596969E-4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8.9634649169983156E-6</v>
      </c>
      <c r="AT157" t="str">
        <f t="shared" si="2"/>
        <v/>
      </c>
    </row>
    <row r="158" spans="1:46" x14ac:dyDescent="0.3">
      <c r="A158" s="4" t="s">
        <v>26</v>
      </c>
      <c r="B158" s="4" t="s">
        <v>225</v>
      </c>
      <c r="C158" s="4" t="s">
        <v>281</v>
      </c>
      <c r="D158" s="4" t="s">
        <v>31</v>
      </c>
      <c r="E158" s="4" t="s">
        <v>31</v>
      </c>
      <c r="F158" s="4" t="s">
        <v>31</v>
      </c>
      <c r="G158" s="4" t="s">
        <v>31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8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6.4536947402387866E-4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>
        <v>3.5853859667993262E-5</v>
      </c>
      <c r="AT158" t="str">
        <f t="shared" si="2"/>
        <v/>
      </c>
    </row>
    <row r="159" spans="1:46" x14ac:dyDescent="0.3">
      <c r="A159" s="4" t="s">
        <v>26</v>
      </c>
      <c r="B159" s="4" t="s">
        <v>340</v>
      </c>
      <c r="C159" s="4" t="s">
        <v>341</v>
      </c>
      <c r="D159" s="4" t="s">
        <v>342</v>
      </c>
      <c r="E159" s="4" t="s">
        <v>343</v>
      </c>
      <c r="F159" s="4" t="s">
        <v>344</v>
      </c>
      <c r="G159" s="4" t="s">
        <v>205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2</v>
      </c>
      <c r="V159" s="4">
        <v>0</v>
      </c>
      <c r="W159" s="4">
        <v>0</v>
      </c>
      <c r="X159" s="4">
        <v>4</v>
      </c>
      <c r="Y159" s="4">
        <v>0</v>
      </c>
      <c r="Z159" s="4">
        <v>6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1.6134236850596969E-4</v>
      </c>
      <c r="AO159" s="5">
        <v>0</v>
      </c>
      <c r="AP159" s="5">
        <v>0</v>
      </c>
      <c r="AQ159" s="5">
        <v>3.2268473701193927E-4</v>
      </c>
      <c r="AR159" s="5">
        <v>0</v>
      </c>
      <c r="AS159" s="5">
        <v>2.6890394750994945E-5</v>
      </c>
      <c r="AT159" t="str">
        <f t="shared" si="2"/>
        <v/>
      </c>
    </row>
    <row r="160" spans="1:46" x14ac:dyDescent="0.3">
      <c r="A160" s="4" t="s">
        <v>26</v>
      </c>
      <c r="B160" s="4" t="s">
        <v>340</v>
      </c>
      <c r="C160" s="4" t="s">
        <v>345</v>
      </c>
      <c r="D160" s="4" t="s">
        <v>346</v>
      </c>
      <c r="E160" s="4" t="s">
        <v>347</v>
      </c>
      <c r="F160" s="4" t="s">
        <v>348</v>
      </c>
      <c r="G160" s="4" t="s">
        <v>31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5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5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4.0335592126492409E-4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>
        <v>2.2408662292495788E-5</v>
      </c>
      <c r="AT160" t="str">
        <f t="shared" si="2"/>
        <v/>
      </c>
    </row>
    <row r="161" spans="1:46" x14ac:dyDescent="0.3">
      <c r="A161" s="4" t="s">
        <v>26</v>
      </c>
      <c r="B161" s="4" t="s">
        <v>31</v>
      </c>
      <c r="C161" s="4" t="s">
        <v>31</v>
      </c>
      <c r="D161" s="4" t="s">
        <v>31</v>
      </c>
      <c r="E161" s="4" t="s">
        <v>31</v>
      </c>
      <c r="F161" s="4" t="s">
        <v>31</v>
      </c>
      <c r="G161" s="4" t="s">
        <v>31</v>
      </c>
      <c r="H161" s="4">
        <v>6</v>
      </c>
      <c r="I161" s="4">
        <v>3</v>
      </c>
      <c r="J161" s="4">
        <v>0</v>
      </c>
      <c r="K161" s="4">
        <v>60</v>
      </c>
      <c r="L161" s="4">
        <v>36</v>
      </c>
      <c r="M161" s="4">
        <v>0</v>
      </c>
      <c r="N161" s="4">
        <v>41</v>
      </c>
      <c r="O161" s="4">
        <v>14</v>
      </c>
      <c r="P161" s="4">
        <v>44</v>
      </c>
      <c r="Q161" s="4">
        <v>0</v>
      </c>
      <c r="R161" s="4">
        <v>18</v>
      </c>
      <c r="S161" s="4">
        <v>1</v>
      </c>
      <c r="T161" s="4">
        <v>235</v>
      </c>
      <c r="U161" s="4">
        <v>16</v>
      </c>
      <c r="V161" s="4">
        <v>0</v>
      </c>
      <c r="W161" s="4">
        <v>57</v>
      </c>
      <c r="X161" s="4">
        <v>235</v>
      </c>
      <c r="Y161" s="4">
        <v>52</v>
      </c>
      <c r="Z161" s="4">
        <v>818</v>
      </c>
      <c r="AA161" s="5">
        <v>4.8402710551790902E-4</v>
      </c>
      <c r="AB161" s="5">
        <v>2.4201355275895451E-4</v>
      </c>
      <c r="AC161" s="5">
        <v>0</v>
      </c>
      <c r="AD161" s="5">
        <v>4.8402710551790898E-3</v>
      </c>
      <c r="AE161" s="5">
        <v>2.9041626331074541E-3</v>
      </c>
      <c r="AF161" s="5">
        <v>0</v>
      </c>
      <c r="AG161" s="5">
        <v>3.307518554372378E-3</v>
      </c>
      <c r="AH161" s="5">
        <v>1.129396579541788E-3</v>
      </c>
      <c r="AI161" s="5">
        <v>3.5495321071313331E-3</v>
      </c>
      <c r="AJ161" s="5">
        <v>0</v>
      </c>
      <c r="AK161" s="5">
        <v>1.4520813165537271E-3</v>
      </c>
      <c r="AL161" s="5">
        <v>8.0671184252984832E-5</v>
      </c>
      <c r="AM161" s="5">
        <v>1.8957728299451439E-2</v>
      </c>
      <c r="AN161" s="5">
        <v>1.2907389480477571E-3</v>
      </c>
      <c r="AO161" s="5">
        <v>0</v>
      </c>
      <c r="AP161" s="5">
        <v>4.5982575024201356E-3</v>
      </c>
      <c r="AQ161" s="5">
        <v>1.8957728299451439E-2</v>
      </c>
      <c r="AR161" s="5">
        <v>4.1949015811552116E-3</v>
      </c>
      <c r="AS161" s="5">
        <v>3.6660571510523108E-3</v>
      </c>
      <c r="AT161" t="str">
        <f t="shared" si="2"/>
        <v/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Yuan Chang</dc:creator>
  <cp:lastModifiedBy>Chao Yuan Chang</cp:lastModifiedBy>
  <dcterms:created xsi:type="dcterms:W3CDTF">2026-05-04T23:27:58Z</dcterms:created>
  <dcterms:modified xsi:type="dcterms:W3CDTF">2026-05-04T23:28:25Z</dcterms:modified>
</cp:coreProperties>
</file>